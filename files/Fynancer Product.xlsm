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tables/table10.xml" ContentType="application/vnd.openxmlformats-officedocument.spreadsheetml.table+xml"/>
  <Override PartName="/xl/drawings/drawing6.xml" ContentType="application/vnd.openxmlformats-officedocument.drawing+xml"/>
  <Override PartName="/xl/drawings/drawing7.xml" ContentType="application/vnd.openxmlformats-officedocument.drawing+xml"/>
  <Override PartName="/xl/tables/table11.xml" ContentType="application/vnd.openxmlformats-officedocument.spreadsheetml.tab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8.xml" ContentType="application/vnd.openxmlformats-officedocument.drawing+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05" codeName="{00000000-0000-0000-0000-000000000000}"/>
  <workbookPr codeName="ThisWorkbook"/>
  <mc:AlternateContent xmlns:mc="http://schemas.openxmlformats.org/markup-compatibility/2006">
    <mc:Choice Requires="x15">
      <x15ac:absPath xmlns:x15ac="http://schemas.microsoft.com/office/spreadsheetml/2010/11/ac" url="https://connectnpedu.sharepoint.com/sites/SDDClassP03Oct2021-TeamA/Shared Documents/Team A/Assignment 2/"/>
    </mc:Choice>
  </mc:AlternateContent>
  <xr:revisionPtr revIDLastSave="3709" documentId="6_{FB09335B-4899-465B-94A3-D3B085C9C8A7}" xr6:coauthVersionLast="47" xr6:coauthVersionMax="47" xr10:uidLastSave="{373194F3-B94F-43B8-A9EA-01CD45F694A2}"/>
  <bookViews>
    <workbookView xWindow="-110" yWindow="-110" windowWidth="19420" windowHeight="11020" xr2:uid="{DCF29D4F-2C23-4A37-81B1-CE6BE86BB617}"/>
  </bookViews>
  <sheets>
    <sheet name="Dashboard" sheetId="2" r:id="rId1"/>
    <sheet name="Assets" sheetId="8" r:id="rId2"/>
    <sheet name="Liabilities" sheetId="5" r:id="rId3"/>
    <sheet name="Investments" sheetId="4" r:id="rId4"/>
    <sheet name="Ledger" sheetId="7" r:id="rId5"/>
    <sheet name="CPF" sheetId="6" r:id="rId6"/>
    <sheet name="Sheet1" sheetId="11" state="hidden" r:id="rId7"/>
    <sheet name="Calculations" sheetId="3" r:id="rId8"/>
    <sheet name="Forecasts" sheetId="9" r:id="rId9"/>
  </sheets>
  <definedNames>
    <definedName name="Ledger">Table5[#All]</definedName>
    <definedName name="LedgerFinal">Table5[]</definedName>
    <definedName name="TransactionType">Ledger!$J$4:$J$5</definedName>
    <definedName name="wromg">Table5[#All]</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9" i="5" l="1"/>
  <c r="B30" i="5"/>
  <c r="B28" i="5"/>
  <c r="N15" i="9"/>
  <c r="B3" i="11"/>
  <c r="B4" i="11"/>
  <c r="B5" i="11"/>
  <c r="B6" i="11"/>
  <c r="B7" i="11"/>
  <c r="B8" i="11"/>
  <c r="B9" i="11"/>
  <c r="B10" i="11"/>
  <c r="B11" i="11"/>
  <c r="B12" i="11"/>
  <c r="B13" i="11"/>
  <c r="N12" i="9" s="1"/>
  <c r="B2" i="11"/>
  <c r="P11" i="3"/>
  <c r="A18" i="3" s="1"/>
  <c r="C92" i="3"/>
  <c r="C93" i="3"/>
  <c r="C94" i="3"/>
  <c r="C95" i="3"/>
  <c r="C96" i="3"/>
  <c r="C97" i="3"/>
  <c r="C98" i="3"/>
  <c r="C99" i="3"/>
  <c r="C100" i="3"/>
  <c r="C101" i="3"/>
  <c r="C102" i="3"/>
  <c r="F90" i="3" s="1"/>
  <c r="F10" i="7"/>
  <c r="B11" i="4" a="1"/>
  <c r="B11" i="4" s="1"/>
  <c r="K3" i="2"/>
  <c r="K3" i="9"/>
  <c r="C32" i="3"/>
  <c r="C33" i="3"/>
  <c r="C34" i="3"/>
  <c r="C35" i="3"/>
  <c r="C36" i="3"/>
  <c r="C37" i="3"/>
  <c r="C38" i="3"/>
  <c r="C39" i="3"/>
  <c r="C40" i="3"/>
  <c r="C41" i="3"/>
  <c r="C42" i="3"/>
  <c r="C31" i="3"/>
  <c r="C83" i="3"/>
  <c r="D84" i="3" s="1"/>
  <c r="C63" i="3"/>
  <c r="D63" i="3" s="1"/>
  <c r="F14" i="7"/>
  <c r="F15" i="7"/>
  <c r="F16" i="7"/>
  <c r="F13" i="7"/>
  <c r="F12" i="7"/>
  <c r="F11" i="7"/>
  <c r="K3" i="3"/>
  <c r="J3" i="8"/>
  <c r="F6" i="7"/>
  <c r="F7" i="7"/>
  <c r="F8" i="7"/>
  <c r="F9" i="7"/>
  <c r="F5" i="7"/>
  <c r="E5" i="7" a="1"/>
  <c r="E5" i="7" s="1"/>
  <c r="H8" i="4" a="1"/>
  <c r="H8" i="4" s="1"/>
  <c r="G13" i="5"/>
  <c r="D13" i="5"/>
  <c r="C14" i="11"/>
  <c r="C22" i="11"/>
  <c r="C15" i="11"/>
  <c r="C23" i="11"/>
  <c r="C16" i="11"/>
  <c r="C24" i="11"/>
  <c r="C17" i="11"/>
  <c r="C25" i="11"/>
  <c r="C18" i="11"/>
  <c r="C19" i="11"/>
  <c r="C21" i="11"/>
  <c r="C20" i="11"/>
  <c r="J9" i="8"/>
  <c r="G9" i="8"/>
  <c r="M9" i="8"/>
  <c r="B27" i="5" l="1"/>
  <c r="B26" i="5"/>
  <c r="Q19" i="8"/>
  <c r="F7" i="11"/>
  <c r="F15" i="11"/>
  <c r="F23" i="11"/>
  <c r="P12" i="9"/>
  <c r="F8" i="11"/>
  <c r="F16" i="11"/>
  <c r="F24" i="11"/>
  <c r="F9" i="11"/>
  <c r="F17" i="11"/>
  <c r="F25" i="11"/>
  <c r="F2" i="11"/>
  <c r="F10" i="11"/>
  <c r="F18" i="11"/>
  <c r="F3" i="11"/>
  <c r="F11" i="11"/>
  <c r="F19" i="11"/>
  <c r="F4" i="11"/>
  <c r="F12" i="11"/>
  <c r="F20" i="11"/>
  <c r="F5" i="11"/>
  <c r="F13" i="11"/>
  <c r="F21" i="11"/>
  <c r="F6" i="11"/>
  <c r="F14" i="11"/>
  <c r="F22" i="11"/>
  <c r="F92" i="3"/>
  <c r="A100" i="3" s="1"/>
  <c r="F91" i="3"/>
  <c r="B23" i="5"/>
  <c r="A22" i="3"/>
  <c r="A23" i="3"/>
  <c r="A20" i="3"/>
  <c r="A21" i="3"/>
  <c r="A19" i="3"/>
  <c r="A14" i="3"/>
  <c r="A17" i="3"/>
  <c r="A16" i="3"/>
  <c r="A13" i="3"/>
  <c r="A15" i="3"/>
  <c r="A12" i="3"/>
  <c r="A92" i="3"/>
  <c r="D17" i="4" a="1"/>
  <c r="D17" i="4" s="1"/>
  <c r="C103" i="3"/>
  <c r="C43" i="3"/>
  <c r="D44" i="3" s="1"/>
  <c r="D18" i="4" a="1"/>
  <c r="D18" i="4" s="1"/>
  <c r="E19" i="4" a="1"/>
  <c r="E19" i="4" s="1"/>
  <c r="D19" i="4" a="1"/>
  <c r="D19" i="4" s="1"/>
  <c r="E17" i="4" a="1"/>
  <c r="E17" i="4" s="1"/>
  <c r="E18" i="4" a="1"/>
  <c r="E18" i="4" s="1"/>
  <c r="E20" i="4" a="1"/>
  <c r="E20" i="4" s="1"/>
  <c r="D20" i="4" a="1"/>
  <c r="D20" i="4" s="1"/>
  <c r="M3" i="5"/>
  <c r="D20" i="11"/>
  <c r="E25" i="11"/>
  <c r="E23" i="11"/>
  <c r="E20" i="11"/>
  <c r="D25" i="11"/>
  <c r="D23" i="11"/>
  <c r="D21" i="11"/>
  <c r="E17" i="11"/>
  <c r="E15" i="11"/>
  <c r="E21" i="11"/>
  <c r="D17" i="11"/>
  <c r="D15" i="11"/>
  <c r="D19" i="11"/>
  <c r="E24" i="11"/>
  <c r="E22" i="11"/>
  <c r="E19" i="11"/>
  <c r="D24" i="11"/>
  <c r="D22" i="11"/>
  <c r="D18" i="11"/>
  <c r="E16" i="11"/>
  <c r="E14" i="11"/>
  <c r="E18" i="11"/>
  <c r="D16" i="11"/>
  <c r="D14" i="11"/>
  <c r="A99" i="3" l="1"/>
  <c r="A95" i="3"/>
  <c r="A101" i="3"/>
  <c r="A97" i="3"/>
  <c r="A102" i="3"/>
  <c r="A93" i="3"/>
  <c r="A91" i="3"/>
  <c r="A96" i="3"/>
  <c r="A98" i="3"/>
  <c r="A94" i="3"/>
  <c r="D16" i="4" a="1"/>
  <c r="D16" i="4" s="1"/>
  <c r="E16" i="4" a="1"/>
  <c r="E16" i="4" s="1"/>
  <c r="D15" i="4" a="1"/>
  <c r="D15" i="4" s="1"/>
  <c r="E15" i="4" a="1"/>
  <c r="E15" i="4" s="1"/>
  <c r="E14" i="4" a="1"/>
  <c r="E14" i="4" s="1"/>
  <c r="D14" i="4" a="1"/>
  <c r="D14" i="4" s="1"/>
  <c r="D12" i="4" a="1"/>
  <c r="D12" i="4" s="1"/>
  <c r="E12" i="4" a="1"/>
  <c r="E12" i="4" s="1"/>
  <c r="D13" i="4" a="1"/>
  <c r="D13" i="4" s="1"/>
  <c r="E13" i="4" a="1"/>
  <c r="E13" i="4" s="1"/>
  <c r="K3" i="6"/>
  <c r="D9" i="6" l="1"/>
  <c r="C11" i="4" a="1"/>
  <c r="D11" i="4" a="1"/>
  <c r="D11" i="4" s="1"/>
  <c r="E11" i="4" a="1"/>
  <c r="E11" i="4" s="1"/>
  <c r="K3" i="4"/>
  <c r="C24" i="3"/>
  <c r="D24" i="3" s="1"/>
  <c r="F20" i="4" l="1"/>
  <c r="H20" i="4" s="1"/>
  <c r="F18" i="4"/>
  <c r="H18" i="4" s="1"/>
  <c r="F19" i="4"/>
  <c r="H19" i="4" s="1"/>
  <c r="N4" i="4" a="1"/>
  <c r="N4" i="4" s="1"/>
  <c r="G18" i="4" a="1"/>
  <c r="G18" i="4" s="1"/>
  <c r="G19" i="4" a="1"/>
  <c r="G19" i="4" s="1"/>
  <c r="G20" i="4" a="1"/>
  <c r="G20" i="4" s="1"/>
  <c r="F14" i="4"/>
  <c r="H14" i="4" s="1"/>
  <c r="G17" i="4" a="1"/>
  <c r="G17" i="4" s="1"/>
  <c r="F17" i="4"/>
  <c r="H17" i="4" s="1"/>
  <c r="G16" i="4" a="1"/>
  <c r="G16" i="4" s="1"/>
  <c r="F16" i="4"/>
  <c r="H16" i="4" s="1"/>
  <c r="G14" i="4" a="1"/>
  <c r="G14" i="4" s="1"/>
  <c r="G15" i="4" a="1"/>
  <c r="G15" i="4" s="1"/>
  <c r="F15" i="4"/>
  <c r="H15" i="4" s="1"/>
  <c r="G13" i="4" a="1"/>
  <c r="G13" i="4" s="1"/>
  <c r="G12" i="4" a="1"/>
  <c r="G12" i="4" s="1"/>
  <c r="F12" i="4"/>
  <c r="H12" i="4" s="1"/>
  <c r="C11" i="4"/>
  <c r="G11" i="4" s="1" a="1"/>
  <c r="G11" i="4" s="1"/>
  <c r="F13" i="4"/>
  <c r="H13" i="4" s="1"/>
  <c r="F11" i="4" l="1"/>
  <c r="O4" i="4" s="1" a="1"/>
  <c r="O4" i="4" s="1"/>
  <c r="H11" i="4" l="1"/>
  <c r="H9" i="4" s="1"/>
  <c r="F9" i="4"/>
  <c r="Q20" i="8" l="1"/>
  <c r="Q21" i="8"/>
  <c r="B22" i="8" l="1"/>
  <c r="Q18" i="8"/>
  <c r="P14" i="6" l="1"/>
  <c r="M23" i="6" s="1"/>
  <c r="H15" i="6"/>
  <c r="B15" i="6"/>
  <c r="D15" i="6"/>
  <c r="F15" i="6"/>
  <c r="J15" i="6"/>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1">
    <bk>
      <extLst>
        <ext uri="{3e2802c4-a4d2-4d8b-9148-e3be6c30e623}">
          <xlrd:rvb i="1"/>
        </ext>
      </extLst>
    </bk>
    <bk>
      <extLst>
        <ext uri="{3e2802c4-a4d2-4d8b-9148-e3be6c30e623}">
          <xlrd:rvb i="4"/>
        </ext>
      </extLst>
    </bk>
    <bk>
      <extLst>
        <ext uri="{3e2802c4-a4d2-4d8b-9148-e3be6c30e623}">
          <xlrd:rvb i="7"/>
        </ext>
      </extLst>
    </bk>
    <bk>
      <extLst>
        <ext uri="{3e2802c4-a4d2-4d8b-9148-e3be6c30e623}">
          <xlrd:rvb i="14"/>
        </ext>
      </extLst>
    </bk>
    <bk>
      <extLst>
        <ext uri="{3e2802c4-a4d2-4d8b-9148-e3be6c30e623}">
          <xlrd:rvb i="20"/>
        </ext>
      </extLst>
    </bk>
    <bk>
      <extLst>
        <ext uri="{3e2802c4-a4d2-4d8b-9148-e3be6c30e623}">
          <xlrd:rvb i="23"/>
        </ext>
      </extLst>
    </bk>
    <bk>
      <extLst>
        <ext uri="{3e2802c4-a4d2-4d8b-9148-e3be6c30e623}">
          <xlrd:rvb i="26"/>
        </ext>
      </extLst>
    </bk>
    <bk>
      <extLst>
        <ext uri="{3e2802c4-a4d2-4d8b-9148-e3be6c30e623}">
          <xlrd:rvb i="29"/>
        </ext>
      </extLst>
    </bk>
    <bk>
      <extLst>
        <ext uri="{3e2802c4-a4d2-4d8b-9148-e3be6c30e623}">
          <xlrd:rvb i="32"/>
        </ext>
      </extLst>
    </bk>
    <bk>
      <extLst>
        <ext uri="{3e2802c4-a4d2-4d8b-9148-e3be6c30e623}">
          <xlrd:rvb i="38"/>
        </ext>
      </extLst>
    </bk>
    <bk>
      <extLst>
        <ext uri="{3e2802c4-a4d2-4d8b-9148-e3be6c30e623}">
          <xlrd:rvb i="41"/>
        </ext>
      </extLst>
    </bk>
  </futureMetadata>
  <cellMetadata count="1">
    <bk>
      <rc t="1" v="0"/>
    </bk>
  </cellMetadata>
  <valueMetadata count="11">
    <bk>
      <rc t="2" v="0"/>
    </bk>
    <bk>
      <rc t="2" v="1"/>
    </bk>
    <bk>
      <rc t="2" v="2"/>
    </bk>
    <bk>
      <rc t="2" v="3"/>
    </bk>
    <bk>
      <rc t="2" v="4"/>
    </bk>
    <bk>
      <rc t="2" v="5"/>
    </bk>
    <bk>
      <rc t="2" v="6"/>
    </bk>
    <bk>
      <rc t="2" v="7"/>
    </bk>
    <bk>
      <rc t="2" v="8"/>
    </bk>
    <bk>
      <rc t="2" v="9"/>
    </bk>
    <bk>
      <rc t="2" v="10"/>
    </bk>
  </valueMetadata>
</metadata>
</file>

<file path=xl/sharedStrings.xml><?xml version="1.0" encoding="utf-8"?>
<sst xmlns="http://schemas.openxmlformats.org/spreadsheetml/2006/main" count="231" uniqueCount="120">
  <si>
    <r>
      <t xml:space="preserve">Fynancer - </t>
    </r>
    <r>
      <rPr>
        <b/>
        <i/>
        <sz val="16"/>
        <color theme="1"/>
        <rFont val="Calibri"/>
        <family val="2"/>
        <scheme val="minor"/>
      </rPr>
      <t>The Best Financer In Town</t>
    </r>
  </si>
  <si>
    <t>MY ASSETS</t>
  </si>
  <si>
    <t>Fynancer 2021</t>
  </si>
  <si>
    <t>SALARY</t>
  </si>
  <si>
    <t>VALUE</t>
  </si>
  <si>
    <t>SUBSIDY</t>
  </si>
  <si>
    <t>INVESTMENTS</t>
  </si>
  <si>
    <t>OTHERS</t>
  </si>
  <si>
    <t>SUBTOTAL</t>
  </si>
  <si>
    <t>HealthCare</t>
  </si>
  <si>
    <t>My Investment</t>
  </si>
  <si>
    <t>Won game</t>
  </si>
  <si>
    <t>ASSETS</t>
  </si>
  <si>
    <t>VALUES</t>
  </si>
  <si>
    <t>TOTAL ASSETS</t>
  </si>
  <si>
    <t>MY LIABILITIES</t>
  </si>
  <si>
    <t>EXPENSES</t>
  </si>
  <si>
    <t>LOANS</t>
  </si>
  <si>
    <t>HOUSEHOLD EXPENSES</t>
  </si>
  <si>
    <t>UTILITIES EXPENSES</t>
  </si>
  <si>
    <t>RENTAL EXPENSES</t>
  </si>
  <si>
    <t>MORTGAGE LOANS</t>
  </si>
  <si>
    <t>BANK LOANS</t>
  </si>
  <si>
    <t>Food</t>
  </si>
  <si>
    <t>Water</t>
  </si>
  <si>
    <t>TOTAL LIABILITIES</t>
  </si>
  <si>
    <t>LIABILITIES</t>
  </si>
  <si>
    <t>HOUSEHOLD</t>
  </si>
  <si>
    <t>UTILITIES</t>
  </si>
  <si>
    <t>RENTAL</t>
  </si>
  <si>
    <t xml:space="preserve">MORTGAGE </t>
  </si>
  <si>
    <t>BANK LOAN</t>
  </si>
  <si>
    <t xml:space="preserve">  </t>
  </si>
  <si>
    <t xml:space="preserve">   MY INVESTMENTS</t>
  </si>
  <si>
    <t>Industry</t>
  </si>
  <si>
    <t>MarketValue</t>
  </si>
  <si>
    <t>Current Holdings</t>
  </si>
  <si>
    <t>Total Market Value:</t>
  </si>
  <si>
    <t>Total Gain/Loss:</t>
  </si>
  <si>
    <t>Stock</t>
  </si>
  <si>
    <t>Units</t>
  </si>
  <si>
    <t>Current Price</t>
  </si>
  <si>
    <t>Market Value</t>
  </si>
  <si>
    <t>Todays Change($)</t>
  </si>
  <si>
    <t>Gain/loss</t>
  </si>
  <si>
    <t xml:space="preserve"> </t>
  </si>
  <si>
    <t>*AFTER CLICKING, PAGE WILL REFRESH EVERY 1 MINUTE</t>
  </si>
  <si>
    <t>Ledger</t>
  </si>
  <si>
    <t>Transaction</t>
  </si>
  <si>
    <t>Price</t>
  </si>
  <si>
    <t>Currency</t>
  </si>
  <si>
    <t>Transaction Amount</t>
  </si>
  <si>
    <t>Buy</t>
  </si>
  <si>
    <t>USD</t>
  </si>
  <si>
    <t>Sell</t>
  </si>
  <si>
    <t>buy</t>
  </si>
  <si>
    <t>usd</t>
  </si>
  <si>
    <t>MY CPF/SAVINGS</t>
  </si>
  <si>
    <t xml:space="preserve">Your Birthday: </t>
  </si>
  <si>
    <t>*INPUT DD/MM/YYYY</t>
  </si>
  <si>
    <t>Your Age:</t>
  </si>
  <si>
    <t>CPF BREAKDOWN TABLE</t>
  </si>
  <si>
    <t>SAVING GOAL SETTER</t>
  </si>
  <si>
    <t>CONTRIBUTION RATE</t>
  </si>
  <si>
    <t>PERCENTAGE</t>
  </si>
  <si>
    <t>AMOUNT</t>
  </si>
  <si>
    <t>ORDINARY ACC</t>
  </si>
  <si>
    <t>SPECIAL ACC</t>
  </si>
  <si>
    <t>MEDISAVE ACC</t>
  </si>
  <si>
    <t>EMPLOYEE</t>
  </si>
  <si>
    <t>EMPLOYER</t>
  </si>
  <si>
    <t>CURRENT SALARY</t>
  </si>
  <si>
    <t>SALARY AFTER CPF</t>
  </si>
  <si>
    <t>TOTAL CPF AMOUNT</t>
  </si>
  <si>
    <t>IN 2022, I HAVE SAVED :</t>
  </si>
  <si>
    <t>IN THE NEXT FEW MONTHS, YOU NEED TO SAVE:</t>
  </si>
  <si>
    <t/>
  </si>
  <si>
    <t>Timeline</t>
  </si>
  <si>
    <t>Values</t>
  </si>
  <si>
    <t>Forecast</t>
  </si>
  <si>
    <t>Lower Confidence Bound</t>
  </si>
  <si>
    <t>Upper Confidence Bound</t>
  </si>
  <si>
    <t>Column1</t>
  </si>
  <si>
    <t>Calculations</t>
  </si>
  <si>
    <t>Total Monthly Assets</t>
  </si>
  <si>
    <t>Months</t>
  </si>
  <si>
    <t>Total</t>
  </si>
  <si>
    <t>January</t>
  </si>
  <si>
    <t>February</t>
  </si>
  <si>
    <t>March</t>
  </si>
  <si>
    <t>April</t>
  </si>
  <si>
    <t>May</t>
  </si>
  <si>
    <t>June</t>
  </si>
  <si>
    <t>July</t>
  </si>
  <si>
    <t>August</t>
  </si>
  <si>
    <t>September</t>
  </si>
  <si>
    <t>October</t>
  </si>
  <si>
    <t>November</t>
  </si>
  <si>
    <t>December</t>
  </si>
  <si>
    <t>Annual Total (Assets)</t>
  </si>
  <si>
    <t>Total Annual Assets</t>
  </si>
  <si>
    <t>Total Monthly Liabilities</t>
  </si>
  <si>
    <t>Total Annual Liabilities</t>
  </si>
  <si>
    <t>Annual Total (Liabilities)</t>
  </si>
  <si>
    <t>Total Monthly Expenses</t>
  </si>
  <si>
    <t>Annual Total (Expenses)</t>
  </si>
  <si>
    <t>Total Annual Expenses</t>
  </si>
  <si>
    <t>Total Monthly Loans</t>
  </si>
  <si>
    <t>Total Annual Loans</t>
  </si>
  <si>
    <t>Annual Total (Loans)</t>
  </si>
  <si>
    <t>Net Worth</t>
  </si>
  <si>
    <t>Minimum</t>
  </si>
  <si>
    <t>Maximum</t>
  </si>
  <si>
    <t>Average</t>
  </si>
  <si>
    <t>Annual Net Worth</t>
  </si>
  <si>
    <t>Forecasts</t>
  </si>
  <si>
    <t>2023 ASSETS</t>
  </si>
  <si>
    <t>You make on average:</t>
  </si>
  <si>
    <t>Status:</t>
  </si>
  <si>
    <t>2023 LIABILITIES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</si>
</sst>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4" formatCode="_-&quot;$&quot;* #,##0.00_-;\-&quot;$&quot;* #,##0.00_-;_-&quot;$&quot;* &quot;-&quot;??_-;_-@_-"/>
    <numFmt numFmtId="171" formatCode="_([$$-409]* #,##0.00_);_([$$-409]* \(#,##0.00\);_([$$-409]* &quot;-&quot;??_);_(@_)"/>
    <numFmt numFmtId="172" formatCode="&quot;$&quot;#,##0.00"/>
    <numFmt numFmtId="173" formatCode="_-[$$-409]* #,##0.00_ ;_-[$$-409]* \-#,##0.00\ ;_-[$$-409]* &quot;-&quot;??_ ;_-@_ "/>
    <numFmt numFmtId="174" formatCode="[$$-409]#,##0.00_ ;[Red]\-[$$-409]#,##0.00\ "/>
    <numFmt numFmtId="175" formatCode="&quot;$&quot;#,##0"/>
  </numFmts>
  <fonts count="38">
    <font>
      <sz val="11"/>
      <color theme="1"/>
      <name val="Calibri"/>
      <family val="2"/>
      <scheme val="minor"/>
    </font>
    <font>
      <sz val="11"/>
      <name val="Calibri"/>
      <family val="2"/>
      <scheme val="minor"/>
    </font>
    <font>
      <sz val="11"/>
      <color rgb="FF000000"/>
      <name val="Calibri"/>
      <family val="2"/>
      <scheme val="minor"/>
    </font>
    <font>
      <sz val="11"/>
      <color theme="1"/>
      <name val="Calibri"/>
      <family val="2"/>
      <scheme val="minor"/>
    </font>
    <font>
      <b/>
      <sz val="11"/>
      <color theme="1"/>
      <name val="Calibri"/>
      <family val="2"/>
      <scheme val="minor"/>
    </font>
    <font>
      <sz val="11"/>
      <color theme="0"/>
      <name val="Calibri"/>
      <family val="2"/>
      <scheme val="minor"/>
    </font>
    <font>
      <b/>
      <sz val="14"/>
      <color theme="1"/>
      <name val="Calibri"/>
      <family val="2"/>
      <scheme val="minor"/>
    </font>
    <font>
      <sz val="14"/>
      <color theme="1"/>
      <name val="Calibri"/>
      <family val="2"/>
      <scheme val="minor"/>
    </font>
    <font>
      <b/>
      <sz val="16"/>
      <color theme="1"/>
      <name val="Calibri"/>
      <family val="2"/>
      <scheme val="minor"/>
    </font>
    <font>
      <sz val="20"/>
      <color theme="1"/>
      <name val="Calibri"/>
      <family val="2"/>
      <scheme val="minor"/>
    </font>
    <font>
      <b/>
      <sz val="11"/>
      <color rgb="FF000000"/>
      <name val="Calibri"/>
      <family val="2"/>
      <scheme val="minor"/>
    </font>
    <font>
      <sz val="11"/>
      <color rgb="FFFFCC99"/>
      <name val="Calibri"/>
      <family val="2"/>
      <scheme val="minor"/>
    </font>
    <font>
      <sz val="16"/>
      <color theme="1"/>
      <name val="Calibri"/>
      <family val="2"/>
      <scheme val="minor"/>
    </font>
    <font>
      <sz val="8"/>
      <name val="Calibri"/>
      <family val="2"/>
      <scheme val="minor"/>
    </font>
    <font>
      <b/>
      <sz val="20"/>
      <color theme="1"/>
      <name val="Calibri"/>
      <family val="2"/>
      <scheme val="minor"/>
    </font>
    <font>
      <b/>
      <sz val="15"/>
      <color theme="1"/>
      <name val="Calibri"/>
      <family val="2"/>
      <scheme val="minor"/>
    </font>
    <font>
      <sz val="11"/>
      <color rgb="FFFAD3E9"/>
      <name val="Calibri"/>
      <family val="2"/>
      <scheme val="minor"/>
    </font>
    <font>
      <b/>
      <sz val="11"/>
      <color rgb="FF7030A0"/>
      <name val="Calibri"/>
      <family val="2"/>
      <scheme val="minor"/>
    </font>
    <font>
      <sz val="11"/>
      <color rgb="FF7030A0"/>
      <name val="Calibri"/>
      <family val="2"/>
      <scheme val="minor"/>
    </font>
    <font>
      <b/>
      <sz val="11"/>
      <color theme="0"/>
      <name val="Calibri"/>
      <family val="2"/>
      <scheme val="minor"/>
    </font>
    <font>
      <b/>
      <i/>
      <sz val="16"/>
      <color theme="1"/>
      <name val="Calibri"/>
      <family val="2"/>
      <scheme val="minor"/>
    </font>
    <font>
      <b/>
      <sz val="24"/>
      <color theme="1"/>
      <name val="Calibri"/>
      <family val="2"/>
      <scheme val="minor"/>
    </font>
    <font>
      <sz val="11"/>
      <color theme="7" tint="0.59999389629810485"/>
      <name val="Calibri"/>
      <family val="2"/>
      <scheme val="minor"/>
    </font>
    <font>
      <sz val="11"/>
      <color theme="0"/>
      <name val="Calibri"/>
      <family val="2"/>
      <scheme val="minor"/>
    </font>
    <font>
      <b/>
      <sz val="11"/>
      <color theme="9" tint="-0.249977111117893"/>
      <name val="Calibri"/>
      <family val="2"/>
      <scheme val="minor"/>
    </font>
    <font>
      <sz val="11"/>
      <color rgb="FF8AE6C1"/>
      <name val="Calibri"/>
      <family val="2"/>
      <scheme val="minor"/>
    </font>
    <font>
      <b/>
      <sz val="11"/>
      <color theme="4" tint="0.39997558519241921"/>
      <name val="Calibri"/>
      <family val="2"/>
      <scheme val="minor"/>
    </font>
    <font>
      <sz val="12"/>
      <color theme="1"/>
      <name val="Calibri"/>
      <family val="2"/>
      <scheme val="minor"/>
    </font>
    <font>
      <sz val="11"/>
      <color theme="6" tint="0.59999389629810485"/>
      <name val="Calibri"/>
      <family val="2"/>
      <scheme val="minor"/>
    </font>
    <font>
      <sz val="11"/>
      <color rgb="FFB8DCF1"/>
      <name val="Calibri"/>
      <family val="2"/>
      <scheme val="minor"/>
    </font>
    <font>
      <sz val="11"/>
      <color theme="6" tint="0.39997558519241921"/>
      <name val="Calibri"/>
      <family val="2"/>
      <scheme val="minor"/>
    </font>
    <font>
      <b/>
      <sz val="12"/>
      <color theme="1"/>
      <name val="Calibri"/>
      <family val="2"/>
      <scheme val="minor"/>
    </font>
    <font>
      <b/>
      <sz val="18"/>
      <color theme="1"/>
      <name val="Calibri"/>
      <family val="2"/>
      <scheme val="minor"/>
    </font>
    <font>
      <b/>
      <sz val="11"/>
      <color theme="6" tint="0.59999389629810485"/>
      <name val="Calibri"/>
      <family val="2"/>
      <scheme val="minor"/>
    </font>
    <font>
      <b/>
      <sz val="20"/>
      <color rgb="FF000000"/>
      <name val="Calibri"/>
      <family val="2"/>
      <scheme val="minor"/>
    </font>
    <font>
      <i/>
      <sz val="11"/>
      <color theme="1"/>
      <name val="Calibri"/>
      <family val="2"/>
      <scheme val="minor"/>
    </font>
    <font>
      <b/>
      <sz val="24"/>
      <color theme="6" tint="0.59999389629810485"/>
      <name val="Calibri"/>
      <family val="2"/>
      <scheme val="minor"/>
    </font>
    <font>
      <sz val="20"/>
      <name val="Calibri"/>
      <family val="2"/>
      <scheme val="minor"/>
    </font>
  </fonts>
  <fills count="31">
    <fill>
      <patternFill patternType="none"/>
    </fill>
    <fill>
      <patternFill patternType="gray125"/>
    </fill>
    <fill>
      <patternFill patternType="solid">
        <fgColor theme="4" tint="0.79998168889431442"/>
        <bgColor indexed="65"/>
      </patternFill>
    </fill>
    <fill>
      <patternFill patternType="solid">
        <fgColor rgb="FF8AE6C1"/>
        <bgColor indexed="64"/>
      </patternFill>
    </fill>
    <fill>
      <patternFill patternType="solid">
        <fgColor theme="1"/>
        <bgColor indexed="64"/>
      </patternFill>
    </fill>
    <fill>
      <patternFill patternType="solid">
        <fgColor rgb="FF8DE2F3"/>
        <bgColor indexed="64"/>
      </patternFill>
    </fill>
    <fill>
      <patternFill patternType="solid">
        <fgColor theme="6" tint="0.59999389629810485"/>
        <bgColor indexed="64"/>
      </patternFill>
    </fill>
    <fill>
      <patternFill patternType="solid">
        <fgColor rgb="FF00B0F0"/>
        <bgColor indexed="64"/>
      </patternFill>
    </fill>
    <fill>
      <patternFill patternType="solid">
        <fgColor theme="8" tint="0.59999389629810485"/>
        <bgColor indexed="64"/>
      </patternFill>
    </fill>
    <fill>
      <patternFill patternType="solid">
        <fgColor rgb="FFFFCC99"/>
        <bgColor indexed="64"/>
      </patternFill>
    </fill>
    <fill>
      <patternFill patternType="solid">
        <fgColor rgb="FFFFE697"/>
        <bgColor indexed="64"/>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rgb="FFFAD3E9"/>
        <bgColor indexed="64"/>
      </patternFill>
    </fill>
    <fill>
      <patternFill patternType="solid">
        <fgColor rgb="FFC3A2E8"/>
        <bgColor indexed="64"/>
      </patternFill>
    </fill>
    <fill>
      <patternFill patternType="solid">
        <fgColor rgb="FFB083E1"/>
        <bgColor indexed="64"/>
      </patternFill>
    </fill>
    <fill>
      <patternFill patternType="solid">
        <fgColor rgb="FFDAC5F1"/>
        <bgColor indexed="64"/>
      </patternFill>
    </fill>
    <fill>
      <patternFill patternType="solid">
        <fgColor theme="6"/>
      </patternFill>
    </fill>
    <fill>
      <patternFill patternType="solid">
        <fgColor rgb="FFB8DCF1"/>
        <bgColor indexed="64"/>
      </patternFill>
    </fill>
    <fill>
      <patternFill patternType="solid">
        <fgColor rgb="FF9BC2E6"/>
        <bgColor indexed="64"/>
      </patternFill>
    </fill>
    <fill>
      <patternFill patternType="solid">
        <fgColor rgb="FF5B9BD5"/>
        <bgColor indexed="64"/>
      </patternFill>
    </fill>
    <fill>
      <patternFill patternType="solid">
        <fgColor theme="4" tint="0.39997558519241921"/>
        <bgColor indexed="64"/>
      </patternFill>
    </fill>
    <fill>
      <patternFill patternType="solid">
        <fgColor rgb="FFD6BFEF"/>
        <bgColor indexed="64"/>
      </patternFill>
    </fill>
    <fill>
      <patternFill patternType="solid">
        <fgColor theme="5" tint="0.39997558519241921"/>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4" tint="0.79998168889431442"/>
        <bgColor indexed="64"/>
      </patternFill>
    </fill>
  </fills>
  <borders count="17">
    <border>
      <left/>
      <right/>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style="mediumDashed">
        <color indexed="64"/>
      </right>
      <top/>
      <bottom/>
      <diagonal/>
    </border>
    <border>
      <left/>
      <right/>
      <top/>
      <bottom style="medium">
        <color indexed="64"/>
      </bottom>
      <diagonal/>
    </border>
    <border>
      <left/>
      <right style="mediumDashed">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right/>
      <top style="thin">
        <color indexed="64"/>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s>
  <cellStyleXfs count="8">
    <xf numFmtId="0" fontId="0" fillId="0" borderId="0"/>
    <xf numFmtId="0" fontId="3" fillId="2" borderId="0" applyNumberFormat="0" applyBorder="0" applyAlignment="0" applyProtection="0"/>
    <xf numFmtId="44" fontId="3" fillId="0" borderId="0" applyFont="0" applyFill="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23" fillId="19" borderId="0" applyNumberFormat="0" applyBorder="0" applyAlignment="0" applyProtection="0"/>
  </cellStyleXfs>
  <cellXfs count="237">
    <xf numFmtId="0" fontId="0" fillId="0" borderId="0" xfId="0"/>
    <xf numFmtId="0" fontId="0" fillId="3" borderId="0" xfId="0" applyFill="1"/>
    <xf numFmtId="0" fontId="0" fillId="5" borderId="0" xfId="0" applyFill="1"/>
    <xf numFmtId="0" fontId="0" fillId="5" borderId="8" xfId="0" applyFill="1" applyBorder="1"/>
    <xf numFmtId="0" fontId="4" fillId="5" borderId="0" xfId="0" applyFont="1" applyFill="1"/>
    <xf numFmtId="0" fontId="0" fillId="5" borderId="9" xfId="0" applyFill="1" applyBorder="1"/>
    <xf numFmtId="0" fontId="0" fillId="5" borderId="10" xfId="0" applyFill="1" applyBorder="1"/>
    <xf numFmtId="0" fontId="0" fillId="6" borderId="0" xfId="0" applyFill="1"/>
    <xf numFmtId="0" fontId="0" fillId="6" borderId="8" xfId="0" applyFill="1" applyBorder="1"/>
    <xf numFmtId="0" fontId="4" fillId="6" borderId="0" xfId="0" applyFont="1" applyFill="1"/>
    <xf numFmtId="0" fontId="0" fillId="6" borderId="9" xfId="0" applyFill="1" applyBorder="1"/>
    <xf numFmtId="0" fontId="0" fillId="6" borderId="10" xfId="0" applyFill="1" applyBorder="1"/>
    <xf numFmtId="1" fontId="0" fillId="6" borderId="0" xfId="0" applyNumberFormat="1" applyFill="1"/>
    <xf numFmtId="0" fontId="0" fillId="6" borderId="0" xfId="0" quotePrefix="1" applyFill="1"/>
    <xf numFmtId="0" fontId="7" fillId="7" borderId="0" xfId="0" applyFont="1" applyFill="1"/>
    <xf numFmtId="0" fontId="0" fillId="7" borderId="0" xfId="0" applyFill="1"/>
    <xf numFmtId="0" fontId="0" fillId="7" borderId="0" xfId="0" applyFill="1" applyAlignment="1">
      <alignment horizontal="right"/>
    </xf>
    <xf numFmtId="0" fontId="2" fillId="5" borderId="0" xfId="0" applyFont="1" applyFill="1"/>
    <xf numFmtId="171" fontId="2" fillId="5" borderId="0" xfId="0" applyNumberFormat="1" applyFont="1" applyFill="1"/>
    <xf numFmtId="173" fontId="2" fillId="5" borderId="0" xfId="0" applyNumberFormat="1" applyFont="1" applyFill="1"/>
    <xf numFmtId="174" fontId="2" fillId="5" borderId="0" xfId="0" applyNumberFormat="1" applyFont="1" applyFill="1"/>
    <xf numFmtId="0" fontId="10" fillId="5" borderId="1" xfId="0" applyFont="1" applyFill="1" applyBorder="1"/>
    <xf numFmtId="0" fontId="8" fillId="7" borderId="0" xfId="0" applyFont="1" applyFill="1"/>
    <xf numFmtId="173" fontId="0" fillId="7" borderId="0" xfId="0" applyNumberFormat="1" applyFill="1"/>
    <xf numFmtId="0" fontId="0" fillId="9" borderId="0" xfId="0" applyFill="1"/>
    <xf numFmtId="0" fontId="0" fillId="9" borderId="8" xfId="0" applyFill="1" applyBorder="1"/>
    <xf numFmtId="0" fontId="4" fillId="9" borderId="0" xfId="0" applyFont="1" applyFill="1"/>
    <xf numFmtId="0" fontId="0" fillId="9" borderId="9" xfId="0" applyFill="1" applyBorder="1"/>
    <xf numFmtId="0" fontId="0" fillId="9" borderId="10" xfId="0" applyFill="1" applyBorder="1"/>
    <xf numFmtId="0" fontId="11" fillId="9" borderId="0" xfId="0" applyFont="1" applyFill="1"/>
    <xf numFmtId="0" fontId="4" fillId="9" borderId="0" xfId="0" applyFont="1" applyFill="1" applyAlignment="1">
      <alignment horizontal="center"/>
    </xf>
    <xf numFmtId="175" fontId="12" fillId="9" borderId="0" xfId="2" applyNumberFormat="1" applyFont="1" applyFill="1" applyAlignment="1">
      <alignment horizontal="center"/>
    </xf>
    <xf numFmtId="0" fontId="0" fillId="3" borderId="8" xfId="0" applyFill="1" applyBorder="1"/>
    <xf numFmtId="0" fontId="4" fillId="3" borderId="0" xfId="0" applyFont="1" applyFill="1"/>
    <xf numFmtId="0" fontId="0" fillId="3" borderId="9" xfId="0" applyFill="1" applyBorder="1"/>
    <xf numFmtId="0" fontId="0" fillId="3" borderId="10" xfId="0" applyFill="1" applyBorder="1"/>
    <xf numFmtId="0" fontId="2" fillId="6" borderId="0" xfId="0" applyFont="1" applyFill="1"/>
    <xf numFmtId="0" fontId="6" fillId="3" borderId="0" xfId="0" applyFont="1" applyFill="1" applyAlignment="1">
      <alignment horizontal="left" vertical="center"/>
    </xf>
    <xf numFmtId="0" fontId="4" fillId="9" borderId="6" xfId="1" applyFont="1" applyFill="1" applyBorder="1" applyAlignment="1">
      <alignment horizontal="center"/>
    </xf>
    <xf numFmtId="175" fontId="4" fillId="9" borderId="7" xfId="1" applyNumberFormat="1" applyFont="1" applyFill="1" applyBorder="1" applyAlignment="1">
      <alignment horizontal="center"/>
    </xf>
    <xf numFmtId="0" fontId="3" fillId="2" borderId="0" xfId="1"/>
    <xf numFmtId="0" fontId="3" fillId="2" borderId="0" xfId="1" applyBorder="1" applyAlignment="1">
      <alignment horizontal="left" vertical="center"/>
    </xf>
    <xf numFmtId="0" fontId="3" fillId="2" borderId="0" xfId="1" applyBorder="1"/>
    <xf numFmtId="0" fontId="3" fillId="2" borderId="0" xfId="1" applyAlignment="1">
      <alignment horizontal="left" vertical="center"/>
    </xf>
    <xf numFmtId="0" fontId="3" fillId="10" borderId="2" xfId="1" applyFill="1" applyBorder="1" applyAlignment="1">
      <alignment horizontal="center"/>
    </xf>
    <xf numFmtId="0" fontId="3" fillId="10" borderId="3" xfId="1" applyFill="1" applyBorder="1" applyAlignment="1">
      <alignment horizontal="center"/>
    </xf>
    <xf numFmtId="0" fontId="3" fillId="10" borderId="4" xfId="1" applyFill="1" applyBorder="1" applyAlignment="1">
      <alignment horizontal="center"/>
    </xf>
    <xf numFmtId="175" fontId="3" fillId="10" borderId="5" xfId="1" applyNumberFormat="1" applyFill="1" applyBorder="1" applyAlignment="1">
      <alignment horizontal="center"/>
    </xf>
    <xf numFmtId="0" fontId="3" fillId="11" borderId="0" xfId="3"/>
    <xf numFmtId="14" fontId="3" fillId="11" borderId="0" xfId="3" applyNumberFormat="1"/>
    <xf numFmtId="172" fontId="3" fillId="11" borderId="0" xfId="3" applyNumberFormat="1" applyAlignment="1">
      <alignment horizontal="center"/>
    </xf>
    <xf numFmtId="0" fontId="3" fillId="13" borderId="0" xfId="5"/>
    <xf numFmtId="0" fontId="0" fillId="8" borderId="0" xfId="0" applyFill="1"/>
    <xf numFmtId="0" fontId="3" fillId="14" borderId="0" xfId="6"/>
    <xf numFmtId="172" fontId="3" fillId="14" borderId="0" xfId="6" applyNumberFormat="1"/>
    <xf numFmtId="0" fontId="3" fillId="12" borderId="0" xfId="4"/>
    <xf numFmtId="175" fontId="15" fillId="12" borderId="0" xfId="4" applyNumberFormat="1" applyFont="1" applyAlignment="1">
      <alignment vertical="center"/>
    </xf>
    <xf numFmtId="175" fontId="15" fillId="12" borderId="12" xfId="4" applyNumberFormat="1" applyFont="1" applyBorder="1" applyAlignment="1">
      <alignment horizontal="center" vertical="center"/>
    </xf>
    <xf numFmtId="175" fontId="15" fillId="12" borderId="0" xfId="4" applyNumberFormat="1" applyFont="1" applyBorder="1" applyAlignment="1">
      <alignment horizontal="center" vertical="center"/>
    </xf>
    <xf numFmtId="175" fontId="0" fillId="0" borderId="0" xfId="0" applyNumberFormat="1"/>
    <xf numFmtId="0" fontId="0" fillId="15" borderId="0" xfId="0" applyFill="1"/>
    <xf numFmtId="14" fontId="16" fillId="15" borderId="0" xfId="1" applyNumberFormat="1" applyFont="1" applyFill="1"/>
    <xf numFmtId="0" fontId="0" fillId="15" borderId="8" xfId="0" applyFill="1" applyBorder="1"/>
    <xf numFmtId="0" fontId="4" fillId="15" borderId="0" xfId="0" applyFont="1" applyFill="1"/>
    <xf numFmtId="0" fontId="0" fillId="15" borderId="9" xfId="0" applyFill="1" applyBorder="1"/>
    <xf numFmtId="0" fontId="0" fillId="15" borderId="10" xfId="0" applyFill="1" applyBorder="1"/>
    <xf numFmtId="0" fontId="6" fillId="15" borderId="0" xfId="0" applyFont="1" applyFill="1" applyAlignment="1">
      <alignment horizontal="left" vertical="center"/>
    </xf>
    <xf numFmtId="0" fontId="0" fillId="9" borderId="0" xfId="0" applyFill="1" applyAlignment="1">
      <alignment horizontal="right"/>
    </xf>
    <xf numFmtId="0" fontId="4" fillId="8" borderId="0" xfId="0" applyFont="1" applyFill="1"/>
    <xf numFmtId="0" fontId="0" fillId="8" borderId="11" xfId="0" applyFill="1" applyBorder="1"/>
    <xf numFmtId="40" fontId="0" fillId="8" borderId="11" xfId="0" applyNumberFormat="1" applyFill="1" applyBorder="1"/>
    <xf numFmtId="0" fontId="0" fillId="8" borderId="11" xfId="0" applyFill="1" applyBorder="1" applyAlignment="1">
      <alignment horizontal="right"/>
    </xf>
    <xf numFmtId="172" fontId="0" fillId="8" borderId="11" xfId="0" applyNumberFormat="1" applyFill="1" applyBorder="1"/>
    <xf numFmtId="172" fontId="0" fillId="8" borderId="0" xfId="0" applyNumberFormat="1" applyFill="1"/>
    <xf numFmtId="0" fontId="0" fillId="8" borderId="4" xfId="0" applyFill="1" applyBorder="1"/>
    <xf numFmtId="0" fontId="0" fillId="8" borderId="0" xfId="0" applyFill="1" applyAlignment="1">
      <alignment horizontal="right"/>
    </xf>
    <xf numFmtId="0" fontId="1" fillId="8" borderId="11" xfId="0" applyFont="1" applyFill="1" applyBorder="1"/>
    <xf numFmtId="0" fontId="1" fillId="8" borderId="11" xfId="0" applyFont="1" applyFill="1" applyBorder="1" applyAlignment="1">
      <alignment horizontal="left"/>
    </xf>
    <xf numFmtId="175" fontId="15" fillId="12" borderId="12" xfId="4" applyNumberFormat="1" applyFont="1" applyBorder="1" applyAlignment="1">
      <alignment vertical="center"/>
    </xf>
    <xf numFmtId="175" fontId="15" fillId="12" borderId="0" xfId="4" applyNumberFormat="1" applyFont="1" applyBorder="1" applyAlignment="1">
      <alignment vertical="center"/>
    </xf>
    <xf numFmtId="0" fontId="0" fillId="10" borderId="2" xfId="1" applyFont="1" applyFill="1" applyBorder="1" applyAlignment="1">
      <alignment horizontal="center"/>
    </xf>
    <xf numFmtId="0" fontId="0" fillId="10" borderId="3" xfId="1" applyFont="1" applyFill="1" applyBorder="1" applyAlignment="1">
      <alignment horizontal="center"/>
    </xf>
    <xf numFmtId="0" fontId="0" fillId="16" borderId="0" xfId="0" applyFill="1"/>
    <xf numFmtId="0" fontId="19" fillId="16" borderId="0" xfId="0" applyFont="1" applyFill="1" applyAlignment="1">
      <alignment vertical="center"/>
    </xf>
    <xf numFmtId="0" fontId="0" fillId="16" borderId="9" xfId="0" applyFill="1" applyBorder="1"/>
    <xf numFmtId="0" fontId="4" fillId="16" borderId="0" xfId="0" applyFont="1" applyFill="1" applyAlignment="1">
      <alignment horizontal="left" vertical="center"/>
    </xf>
    <xf numFmtId="0" fontId="0" fillId="16" borderId="0" xfId="0" applyFill="1" applyAlignment="1">
      <alignment horizontal="center"/>
    </xf>
    <xf numFmtId="0" fontId="15" fillId="16" borderId="0" xfId="0" applyFont="1" applyFill="1" applyAlignment="1">
      <alignment vertical="center"/>
    </xf>
    <xf numFmtId="0" fontId="19" fillId="16" borderId="9" xfId="0" applyFont="1" applyFill="1" applyBorder="1" applyAlignment="1">
      <alignment vertical="center"/>
    </xf>
    <xf numFmtId="0" fontId="0" fillId="16" borderId="8" xfId="0" applyFill="1" applyBorder="1"/>
    <xf numFmtId="0" fontId="0" fillId="16" borderId="10" xfId="0" applyFill="1" applyBorder="1"/>
    <xf numFmtId="14" fontId="4" fillId="16" borderId="0" xfId="0" applyNumberFormat="1" applyFont="1" applyFill="1"/>
    <xf numFmtId="14" fontId="4" fillId="5" borderId="0" xfId="0" applyNumberFormat="1" applyFont="1" applyFill="1"/>
    <xf numFmtId="14" fontId="4" fillId="6" borderId="0" xfId="0" applyNumberFormat="1" applyFont="1" applyFill="1"/>
    <xf numFmtId="14" fontId="4" fillId="3" borderId="0" xfId="0" applyNumberFormat="1" applyFont="1" applyFill="1"/>
    <xf numFmtId="14" fontId="4" fillId="15" borderId="0" xfId="0" applyNumberFormat="1" applyFont="1" applyFill="1"/>
    <xf numFmtId="0" fontId="0" fillId="10" borderId="11" xfId="1" applyFont="1" applyFill="1" applyBorder="1" applyAlignment="1">
      <alignment horizontal="center"/>
    </xf>
    <xf numFmtId="175" fontId="0" fillId="10" borderId="11" xfId="1" applyNumberFormat="1" applyFont="1" applyFill="1" applyBorder="1" applyAlignment="1">
      <alignment horizontal="center"/>
    </xf>
    <xf numFmtId="175" fontId="22" fillId="12" borderId="0" xfId="4" applyNumberFormat="1" applyFont="1"/>
    <xf numFmtId="0" fontId="0" fillId="10" borderId="4" xfId="1" applyFont="1" applyFill="1" applyBorder="1" applyAlignment="1" applyProtection="1">
      <alignment horizontal="center"/>
      <protection locked="0"/>
    </xf>
    <xf numFmtId="175" fontId="0" fillId="10" borderId="5" xfId="1" applyNumberFormat="1" applyFont="1" applyFill="1" applyBorder="1" applyAlignment="1" applyProtection="1">
      <alignment horizontal="center"/>
      <protection locked="0"/>
    </xf>
    <xf numFmtId="0" fontId="0" fillId="20" borderId="0" xfId="0" applyFill="1"/>
    <xf numFmtId="0" fontId="25" fillId="3" borderId="0" xfId="0" applyFont="1" applyFill="1"/>
    <xf numFmtId="14" fontId="0" fillId="0" borderId="0" xfId="0" applyNumberFormat="1"/>
    <xf numFmtId="0" fontId="0" fillId="15" borderId="0" xfId="0" applyFill="1" applyAlignment="1">
      <alignment horizontal="center"/>
    </xf>
    <xf numFmtId="0" fontId="0" fillId="15" borderId="0" xfId="0" applyFill="1" applyAlignment="1">
      <alignment vertical="center"/>
    </xf>
    <xf numFmtId="0" fontId="7" fillId="15" borderId="0" xfId="0" applyFont="1" applyFill="1"/>
    <xf numFmtId="0" fontId="1" fillId="15" borderId="0" xfId="0" applyFont="1" applyFill="1"/>
    <xf numFmtId="0" fontId="1" fillId="15" borderId="0" xfId="0" applyFont="1" applyFill="1" applyAlignment="1">
      <alignment horizontal="center"/>
    </xf>
    <xf numFmtId="0" fontId="9" fillId="15" borderId="0" xfId="0" applyFont="1" applyFill="1"/>
    <xf numFmtId="0" fontId="9" fillId="15" borderId="0" xfId="0" applyFont="1" applyFill="1" applyAlignment="1">
      <alignment horizontal="center"/>
    </xf>
    <xf numFmtId="0" fontId="4" fillId="15" borderId="0" xfId="0" applyFont="1" applyFill="1" applyAlignment="1">
      <alignment horizontal="center"/>
    </xf>
    <xf numFmtId="175" fontId="12" fillId="15" borderId="0" xfId="2" applyNumberFormat="1" applyFont="1" applyFill="1" applyAlignment="1">
      <alignment horizontal="center"/>
    </xf>
    <xf numFmtId="0" fontId="29" fillId="5" borderId="0" xfId="0" applyFont="1" applyFill="1"/>
    <xf numFmtId="0" fontId="30" fillId="5" borderId="0" xfId="0" applyFont="1" applyFill="1"/>
    <xf numFmtId="0" fontId="28" fillId="5" borderId="0" xfId="0" applyFont="1" applyFill="1" applyAlignment="1">
      <alignment horizontal="left" vertical="top"/>
    </xf>
    <xf numFmtId="0" fontId="1" fillId="8" borderId="15" xfId="0" applyFont="1" applyFill="1" applyBorder="1"/>
    <xf numFmtId="0" fontId="0" fillId="8" borderId="1" xfId="0" applyFill="1" applyBorder="1"/>
    <xf numFmtId="14" fontId="1" fillId="17" borderId="0" xfId="0" applyNumberFormat="1" applyFont="1" applyFill="1"/>
    <xf numFmtId="9" fontId="21" fillId="6" borderId="0" xfId="0" applyNumberFormat="1" applyFont="1" applyFill="1" applyAlignment="1">
      <alignment vertical="center"/>
    </xf>
    <xf numFmtId="0" fontId="21" fillId="6" borderId="0" xfId="0" applyFont="1" applyFill="1" applyAlignment="1">
      <alignment vertical="center"/>
    </xf>
    <xf numFmtId="0" fontId="0" fillId="6" borderId="0" xfId="0" applyFill="1" applyAlignment="1">
      <alignment vertical="center"/>
    </xf>
    <xf numFmtId="0" fontId="21" fillId="6" borderId="12" xfId="0" applyFont="1" applyFill="1" applyBorder="1" applyAlignment="1">
      <alignment vertical="center"/>
    </xf>
    <xf numFmtId="0" fontId="2" fillId="6" borderId="13" xfId="0" applyFont="1" applyFill="1" applyBorder="1"/>
    <xf numFmtId="0" fontId="0" fillId="6" borderId="12" xfId="0" applyFill="1" applyBorder="1"/>
    <xf numFmtId="0" fontId="0" fillId="6" borderId="13" xfId="0" applyFill="1" applyBorder="1"/>
    <xf numFmtId="0" fontId="0" fillId="5" borderId="0" xfId="0" applyFill="1" applyAlignment="1">
      <alignment horizontal="center" vertical="center"/>
    </xf>
    <xf numFmtId="0" fontId="16" fillId="30" borderId="0" xfId="0" applyFont="1" applyFill="1"/>
    <xf numFmtId="0" fontId="37" fillId="15" borderId="0" xfId="0" applyFont="1" applyFill="1" applyAlignment="1">
      <alignment horizontal="center"/>
    </xf>
    <xf numFmtId="0" fontId="8" fillId="16" borderId="0" xfId="0" applyFont="1" applyFill="1" applyAlignment="1">
      <alignment horizontal="left" vertical="center"/>
    </xf>
    <xf numFmtId="0" fontId="8" fillId="16" borderId="9" xfId="0" applyFont="1" applyFill="1" applyBorder="1" applyAlignment="1">
      <alignment horizontal="left" vertical="center"/>
    </xf>
    <xf numFmtId="0" fontId="6" fillId="9" borderId="0" xfId="0" applyFont="1" applyFill="1" applyAlignment="1">
      <alignment horizontal="left" vertical="center"/>
    </xf>
    <xf numFmtId="0" fontId="6" fillId="9" borderId="9" xfId="0" applyFont="1" applyFill="1" applyBorder="1" applyAlignment="1">
      <alignment horizontal="left" vertical="center"/>
    </xf>
    <xf numFmtId="14" fontId="4" fillId="9" borderId="0" xfId="0" applyNumberFormat="1" applyFont="1" applyFill="1" applyAlignment="1">
      <alignment horizontal="right"/>
    </xf>
    <xf numFmtId="0" fontId="6" fillId="15" borderId="0" xfId="0" applyFont="1" applyFill="1" applyAlignment="1">
      <alignment horizontal="left" vertical="center"/>
    </xf>
    <xf numFmtId="0" fontId="6" fillId="15" borderId="9" xfId="0" applyFont="1" applyFill="1" applyBorder="1" applyAlignment="1">
      <alignment horizontal="left" vertical="center"/>
    </xf>
    <xf numFmtId="0" fontId="0" fillId="23" borderId="0" xfId="0" applyFill="1" applyAlignment="1">
      <alignment horizontal="center" vertical="center"/>
    </xf>
    <xf numFmtId="0" fontId="0" fillId="25" borderId="0" xfId="0" applyFill="1" applyAlignment="1">
      <alignment horizontal="center" vertical="center"/>
    </xf>
    <xf numFmtId="0" fontId="6" fillId="5" borderId="0" xfId="0" applyFont="1" applyFill="1" applyAlignment="1">
      <alignment horizontal="left" vertical="center"/>
    </xf>
    <xf numFmtId="0" fontId="6" fillId="5" borderId="9" xfId="0" applyFont="1" applyFill="1" applyBorder="1" applyAlignment="1">
      <alignment horizontal="left" vertical="center"/>
    </xf>
    <xf numFmtId="0" fontId="6" fillId="5" borderId="0" xfId="0" applyFont="1" applyFill="1" applyAlignment="1">
      <alignment vertical="center"/>
    </xf>
    <xf numFmtId="0" fontId="6" fillId="8" borderId="0" xfId="0" applyFont="1" applyFill="1" applyAlignment="1">
      <alignment horizontal="left" vertical="center"/>
    </xf>
    <xf numFmtId="175" fontId="36" fillId="29" borderId="7" xfId="0" applyNumberFormat="1" applyFont="1" applyFill="1" applyBorder="1" applyAlignment="1">
      <alignment horizontal="center" vertical="center"/>
    </xf>
    <xf numFmtId="175" fontId="36" fillId="29" borderId="14" xfId="0" applyNumberFormat="1" applyFont="1" applyFill="1" applyBorder="1" applyAlignment="1">
      <alignment horizontal="center" vertical="center"/>
    </xf>
    <xf numFmtId="175" fontId="36" fillId="29" borderId="6" xfId="0" applyNumberFormat="1" applyFont="1" applyFill="1" applyBorder="1" applyAlignment="1">
      <alignment horizontal="center" vertical="center"/>
    </xf>
    <xf numFmtId="175" fontId="36" fillId="29" borderId="12" xfId="0" applyNumberFormat="1" applyFont="1" applyFill="1" applyBorder="1" applyAlignment="1">
      <alignment horizontal="center" vertical="center"/>
    </xf>
    <xf numFmtId="175" fontId="36" fillId="29" borderId="0" xfId="0" applyNumberFormat="1" applyFont="1" applyFill="1" applyAlignment="1">
      <alignment horizontal="center" vertical="center"/>
    </xf>
    <xf numFmtId="175" fontId="36" fillId="29" borderId="13" xfId="0" applyNumberFormat="1" applyFont="1" applyFill="1" applyBorder="1" applyAlignment="1">
      <alignment horizontal="center" vertical="center"/>
    </xf>
    <xf numFmtId="175" fontId="36" fillId="29" borderId="3" xfId="0" applyNumberFormat="1" applyFont="1" applyFill="1" applyBorder="1" applyAlignment="1">
      <alignment horizontal="center" vertical="center"/>
    </xf>
    <xf numFmtId="175" fontId="36" fillId="29" borderId="1" xfId="0" applyNumberFormat="1" applyFont="1" applyFill="1" applyBorder="1" applyAlignment="1">
      <alignment horizontal="center" vertical="center"/>
    </xf>
    <xf numFmtId="175" fontId="36" fillId="29" borderId="2" xfId="0" applyNumberFormat="1" applyFont="1" applyFill="1" applyBorder="1" applyAlignment="1">
      <alignment horizontal="center" vertical="center"/>
    </xf>
    <xf numFmtId="0" fontId="23" fillId="22" borderId="11" xfId="7" applyFill="1" applyBorder="1" applyAlignment="1">
      <alignment horizontal="center"/>
    </xf>
    <xf numFmtId="0" fontId="23" fillId="20" borderId="11" xfId="7" applyFill="1" applyBorder="1" applyAlignment="1">
      <alignment horizontal="center" vertical="center"/>
    </xf>
    <xf numFmtId="0" fontId="35" fillId="6" borderId="5" xfId="0" applyFont="1" applyFill="1" applyBorder="1" applyAlignment="1">
      <alignment horizontal="center"/>
    </xf>
    <xf numFmtId="0" fontId="35" fillId="6" borderId="16" xfId="0" applyFont="1" applyFill="1" applyBorder="1" applyAlignment="1">
      <alignment horizontal="center"/>
    </xf>
    <xf numFmtId="0" fontId="35" fillId="6" borderId="4" xfId="0" applyFont="1" applyFill="1" applyBorder="1" applyAlignment="1">
      <alignment horizontal="center"/>
    </xf>
    <xf numFmtId="0" fontId="35" fillId="6" borderId="12" xfId="0" applyFont="1" applyFill="1" applyBorder="1" applyAlignment="1">
      <alignment horizontal="center"/>
    </xf>
    <xf numFmtId="0" fontId="35" fillId="6" borderId="0" xfId="0" applyFont="1" applyFill="1" applyAlignment="1">
      <alignment horizontal="center"/>
    </xf>
    <xf numFmtId="0" fontId="35" fillId="6" borderId="13" xfId="0" applyFont="1" applyFill="1" applyBorder="1" applyAlignment="1">
      <alignment horizontal="center"/>
    </xf>
    <xf numFmtId="0" fontId="0" fillId="6" borderId="11" xfId="0" applyFill="1" applyBorder="1" applyAlignment="1">
      <alignment horizontal="center"/>
    </xf>
    <xf numFmtId="0" fontId="0" fillId="26" borderId="11" xfId="0" applyFill="1" applyBorder="1" applyAlignment="1">
      <alignment horizontal="center"/>
    </xf>
    <xf numFmtId="0" fontId="4" fillId="28" borderId="14" xfId="0" applyFont="1" applyFill="1" applyBorder="1" applyAlignment="1">
      <alignment horizontal="center" vertical="center"/>
    </xf>
    <xf numFmtId="0" fontId="4" fillId="28" borderId="6" xfId="0" applyFont="1" applyFill="1" applyBorder="1" applyAlignment="1">
      <alignment horizontal="center" vertical="center"/>
    </xf>
    <xf numFmtId="0" fontId="4" fillId="28" borderId="0" xfId="0" applyFont="1" applyFill="1" applyAlignment="1">
      <alignment horizontal="center" vertical="center"/>
    </xf>
    <xf numFmtId="0" fontId="4" fillId="28" borderId="13" xfId="0" applyFont="1" applyFill="1" applyBorder="1" applyAlignment="1">
      <alignment horizontal="center" vertical="center"/>
    </xf>
    <xf numFmtId="0" fontId="4" fillId="28" borderId="11" xfId="0" applyFont="1" applyFill="1" applyBorder="1" applyAlignment="1">
      <alignment horizontal="center" vertical="center"/>
    </xf>
    <xf numFmtId="0" fontId="0" fillId="28" borderId="11" xfId="0" applyFill="1" applyBorder="1" applyAlignment="1">
      <alignment horizontal="center" vertical="center"/>
    </xf>
    <xf numFmtId="0" fontId="33" fillId="29" borderId="11" xfId="0" applyFont="1" applyFill="1" applyBorder="1" applyAlignment="1">
      <alignment horizontal="center" vertical="center"/>
    </xf>
    <xf numFmtId="0" fontId="28" fillId="29" borderId="11" xfId="0" applyFont="1" applyFill="1" applyBorder="1" applyAlignment="1">
      <alignment horizontal="center" vertical="center"/>
    </xf>
    <xf numFmtId="9" fontId="21" fillId="6" borderId="11" xfId="0" applyNumberFormat="1" applyFont="1" applyFill="1" applyBorder="1" applyAlignment="1">
      <alignment horizontal="center" vertical="center"/>
    </xf>
    <xf numFmtId="175" fontId="34" fillId="6" borderId="11" xfId="0" applyNumberFormat="1" applyFont="1" applyFill="1" applyBorder="1" applyAlignment="1">
      <alignment horizontal="center" vertical="center"/>
    </xf>
    <xf numFmtId="0" fontId="23" fillId="19" borderId="11" xfId="7" applyBorder="1" applyAlignment="1">
      <alignment horizontal="center"/>
    </xf>
    <xf numFmtId="0" fontId="23" fillId="21" borderId="11" xfId="7" applyFill="1" applyBorder="1" applyAlignment="1">
      <alignment horizontal="center"/>
    </xf>
    <xf numFmtId="0" fontId="33" fillId="29" borderId="7" xfId="0" applyFont="1" applyFill="1" applyBorder="1" applyAlignment="1">
      <alignment horizontal="center" vertical="center"/>
    </xf>
    <xf numFmtId="0" fontId="28" fillId="29" borderId="14" xfId="0" applyFont="1" applyFill="1" applyBorder="1" applyAlignment="1">
      <alignment horizontal="center" vertical="center"/>
    </xf>
    <xf numFmtId="0" fontId="28" fillId="29" borderId="6" xfId="0" applyFont="1" applyFill="1" applyBorder="1" applyAlignment="1">
      <alignment horizontal="center" vertical="center"/>
    </xf>
    <xf numFmtId="0" fontId="28" fillId="29" borderId="12" xfId="0" applyFont="1" applyFill="1" applyBorder="1" applyAlignment="1">
      <alignment horizontal="center" vertical="center"/>
    </xf>
    <xf numFmtId="0" fontId="28" fillId="29" borderId="0" xfId="0" applyFont="1" applyFill="1" applyAlignment="1">
      <alignment horizontal="center" vertical="center"/>
    </xf>
    <xf numFmtId="0" fontId="28" fillId="29" borderId="13" xfId="0" applyFont="1" applyFill="1" applyBorder="1" applyAlignment="1">
      <alignment horizontal="center" vertical="center"/>
    </xf>
    <xf numFmtId="0" fontId="0" fillId="8" borderId="11" xfId="0" applyFill="1" applyBorder="1" applyAlignment="1">
      <alignment horizontal="center"/>
    </xf>
    <xf numFmtId="0" fontId="0" fillId="17" borderId="0" xfId="0" applyFill="1" applyAlignment="1">
      <alignment horizontal="center"/>
    </xf>
    <xf numFmtId="0" fontId="6" fillId="6" borderId="0" xfId="0" applyFont="1" applyFill="1" applyAlignment="1">
      <alignment horizontal="left" vertical="center"/>
    </xf>
    <xf numFmtId="0" fontId="6" fillId="6" borderId="9" xfId="0" applyFont="1" applyFill="1" applyBorder="1" applyAlignment="1">
      <alignment horizontal="left" vertical="center"/>
    </xf>
    <xf numFmtId="0" fontId="5" fillId="4" borderId="5" xfId="1" applyFont="1" applyFill="1" applyBorder="1" applyAlignment="1">
      <alignment horizontal="center"/>
    </xf>
    <xf numFmtId="0" fontId="5" fillId="4" borderId="4" xfId="1" applyFont="1" applyFill="1" applyBorder="1" applyAlignment="1">
      <alignment horizontal="center"/>
    </xf>
    <xf numFmtId="0" fontId="6" fillId="3" borderId="0" xfId="0" applyFont="1" applyFill="1" applyAlignment="1">
      <alignment horizontal="left" vertical="center"/>
    </xf>
    <xf numFmtId="0" fontId="6" fillId="3" borderId="9" xfId="0" applyFont="1" applyFill="1" applyBorder="1" applyAlignment="1">
      <alignment horizontal="left" vertical="center"/>
    </xf>
    <xf numFmtId="175" fontId="15" fillId="2" borderId="0" xfId="1" applyNumberFormat="1" applyFont="1" applyAlignment="1">
      <alignment horizontal="center"/>
    </xf>
    <xf numFmtId="0" fontId="15" fillId="2" borderId="0" xfId="1" applyFont="1" applyAlignment="1">
      <alignment horizontal="center"/>
    </xf>
    <xf numFmtId="0" fontId="14" fillId="2" borderId="0" xfId="1" applyFont="1" applyBorder="1" applyAlignment="1">
      <alignment horizontal="center" vertical="center"/>
    </xf>
    <xf numFmtId="0" fontId="15" fillId="13" borderId="0" xfId="5" applyFont="1" applyAlignment="1">
      <alignment horizontal="center"/>
    </xf>
    <xf numFmtId="175" fontId="15" fillId="12" borderId="12" xfId="4" applyNumberFormat="1" applyFont="1" applyBorder="1" applyAlignment="1">
      <alignment horizontal="center" vertical="center"/>
    </xf>
    <xf numFmtId="175" fontId="15" fillId="12" borderId="0" xfId="4" applyNumberFormat="1" applyFont="1" applyBorder="1" applyAlignment="1">
      <alignment horizontal="center" vertical="center"/>
    </xf>
    <xf numFmtId="175" fontId="15" fillId="12" borderId="12" xfId="4" applyNumberFormat="1" applyFont="1" applyBorder="1" applyAlignment="1">
      <alignment horizontal="center"/>
    </xf>
    <xf numFmtId="175" fontId="15" fillId="12" borderId="0" xfId="4" applyNumberFormat="1" applyFont="1" applyBorder="1" applyAlignment="1">
      <alignment horizontal="center"/>
    </xf>
    <xf numFmtId="0" fontId="5" fillId="4" borderId="1" xfId="1" applyFont="1" applyFill="1" applyBorder="1" applyAlignment="1">
      <alignment horizontal="center"/>
    </xf>
    <xf numFmtId="0" fontId="5" fillId="4" borderId="0" xfId="1" applyFont="1" applyFill="1" applyBorder="1" applyAlignment="1">
      <alignment horizontal="center"/>
    </xf>
    <xf numFmtId="0" fontId="14" fillId="11" borderId="0" xfId="3" applyFont="1" applyBorder="1" applyAlignment="1">
      <alignment horizontal="center" vertical="center"/>
    </xf>
    <xf numFmtId="0" fontId="14" fillId="13" borderId="0" xfId="5" applyFont="1" applyBorder="1" applyAlignment="1">
      <alignment horizontal="center" vertical="center"/>
    </xf>
    <xf numFmtId="172" fontId="15" fillId="13" borderId="0" xfId="5" applyNumberFormat="1" applyFont="1" applyAlignment="1">
      <alignment horizontal="center"/>
    </xf>
    <xf numFmtId="0" fontId="14" fillId="14" borderId="0" xfId="6" applyFont="1" applyBorder="1" applyAlignment="1">
      <alignment horizontal="center" vertical="center"/>
    </xf>
    <xf numFmtId="0" fontId="14" fillId="12" borderId="0" xfId="4" applyFont="1" applyBorder="1" applyAlignment="1">
      <alignment horizontal="center" vertical="center"/>
    </xf>
    <xf numFmtId="0" fontId="5" fillId="4" borderId="11" xfId="1" applyFont="1" applyFill="1" applyBorder="1" applyAlignment="1">
      <alignment horizontal="center"/>
    </xf>
    <xf numFmtId="0" fontId="15" fillId="11" borderId="0" xfId="3" applyFont="1" applyAlignment="1">
      <alignment horizontal="center"/>
    </xf>
    <xf numFmtId="172" fontId="15" fillId="11" borderId="0" xfId="3" applyNumberFormat="1" applyFont="1" applyAlignment="1">
      <alignment horizontal="center"/>
    </xf>
    <xf numFmtId="0" fontId="15" fillId="14" borderId="0" xfId="6" applyFont="1" applyAlignment="1">
      <alignment horizontal="center"/>
    </xf>
    <xf numFmtId="172" fontId="15" fillId="14" borderId="0" xfId="6" applyNumberFormat="1" applyFont="1" applyAlignment="1">
      <alignment horizontal="center"/>
    </xf>
    <xf numFmtId="0" fontId="17" fillId="15" borderId="0" xfId="0" applyFont="1" applyFill="1" applyAlignment="1">
      <alignment horizontal="center" vertical="center"/>
    </xf>
    <xf numFmtId="0" fontId="18" fillId="15" borderId="0" xfId="0" applyFont="1" applyFill="1" applyAlignment="1">
      <alignment horizontal="center" vertical="center"/>
    </xf>
    <xf numFmtId="0" fontId="24" fillId="15" borderId="0" xfId="0" applyFont="1" applyFill="1" applyAlignment="1">
      <alignment horizontal="center" vertical="center"/>
    </xf>
    <xf numFmtId="0" fontId="26" fillId="15" borderId="0" xfId="0" applyFont="1" applyFill="1" applyAlignment="1">
      <alignment horizontal="center" vertical="center"/>
    </xf>
    <xf numFmtId="0" fontId="0" fillId="24" borderId="7" xfId="0" applyFill="1" applyBorder="1" applyAlignment="1">
      <alignment horizontal="center" vertical="center"/>
    </xf>
    <xf numFmtId="0" fontId="0" fillId="24" borderId="14" xfId="0" applyFill="1" applyBorder="1" applyAlignment="1">
      <alignment horizontal="center" vertical="center"/>
    </xf>
    <xf numFmtId="0" fontId="0" fillId="24" borderId="6" xfId="0" applyFill="1" applyBorder="1" applyAlignment="1">
      <alignment horizontal="center" vertical="center"/>
    </xf>
    <xf numFmtId="0" fontId="0" fillId="24" borderId="3" xfId="0" applyFill="1" applyBorder="1" applyAlignment="1">
      <alignment horizontal="center" vertical="center"/>
    </xf>
    <xf numFmtId="0" fontId="0" fillId="24" borderId="1" xfId="0" applyFill="1" applyBorder="1" applyAlignment="1">
      <alignment horizontal="center" vertical="center"/>
    </xf>
    <xf numFmtId="0" fontId="0" fillId="24" borderId="2" xfId="0" applyFill="1" applyBorder="1" applyAlignment="1">
      <alignment horizontal="center" vertical="center"/>
    </xf>
    <xf numFmtId="0" fontId="31" fillId="26" borderId="0" xfId="0" applyFont="1" applyFill="1" applyAlignment="1">
      <alignment horizontal="center"/>
    </xf>
    <xf numFmtId="0" fontId="31" fillId="26" borderId="13" xfId="0" applyFont="1" applyFill="1" applyBorder="1" applyAlignment="1">
      <alignment horizontal="center"/>
    </xf>
    <xf numFmtId="172" fontId="27" fillId="26" borderId="0" xfId="0" applyNumberFormat="1" applyFont="1" applyFill="1" applyAlignment="1">
      <alignment horizontal="center"/>
    </xf>
    <xf numFmtId="172" fontId="27" fillId="26" borderId="13" xfId="0" applyNumberFormat="1" applyFont="1" applyFill="1" applyBorder="1" applyAlignment="1">
      <alignment horizontal="center"/>
    </xf>
    <xf numFmtId="0" fontId="31" fillId="23" borderId="12" xfId="0" applyFont="1" applyFill="1" applyBorder="1" applyAlignment="1">
      <alignment horizontal="center"/>
    </xf>
    <xf numFmtId="0" fontId="31" fillId="23" borderId="0" xfId="0" applyFont="1" applyFill="1" applyAlignment="1">
      <alignment horizontal="center"/>
    </xf>
    <xf numFmtId="172" fontId="27" fillId="23" borderId="12" xfId="0" applyNumberFormat="1" applyFont="1" applyFill="1" applyBorder="1" applyAlignment="1">
      <alignment horizontal="center"/>
    </xf>
    <xf numFmtId="172" fontId="27" fillId="23" borderId="0" xfId="0" applyNumberFormat="1" applyFont="1" applyFill="1" applyAlignment="1">
      <alignment horizontal="center"/>
    </xf>
    <xf numFmtId="0" fontId="0" fillId="18" borderId="7" xfId="0" applyFill="1" applyBorder="1" applyAlignment="1">
      <alignment horizontal="center" vertical="center"/>
    </xf>
    <xf numFmtId="0" fontId="0" fillId="18" borderId="14" xfId="0" applyFill="1" applyBorder="1" applyAlignment="1">
      <alignment horizontal="center" vertical="center"/>
    </xf>
    <xf numFmtId="0" fontId="0" fillId="18" borderId="6" xfId="0" applyFill="1" applyBorder="1" applyAlignment="1">
      <alignment horizontal="center" vertical="center"/>
    </xf>
    <xf numFmtId="0" fontId="0" fillId="18" borderId="3" xfId="0" applyFill="1" applyBorder="1" applyAlignment="1">
      <alignment horizontal="center" vertical="center"/>
    </xf>
    <xf numFmtId="0" fontId="0" fillId="18" borderId="1" xfId="0" applyFill="1" applyBorder="1" applyAlignment="1">
      <alignment horizontal="center" vertical="center"/>
    </xf>
    <xf numFmtId="0" fontId="0" fillId="18" borderId="2" xfId="0" applyFill="1" applyBorder="1" applyAlignment="1">
      <alignment horizontal="center" vertical="center"/>
    </xf>
    <xf numFmtId="0" fontId="32" fillId="27" borderId="12" xfId="0" applyFont="1" applyFill="1" applyBorder="1" applyAlignment="1">
      <alignment horizontal="center" vertical="center"/>
    </xf>
    <xf numFmtId="0" fontId="32" fillId="27" borderId="0" xfId="0" applyFont="1" applyFill="1" applyAlignment="1">
      <alignment horizontal="center" vertical="center"/>
    </xf>
    <xf numFmtId="0" fontId="32" fillId="27" borderId="13" xfId="0" applyFont="1" applyFill="1" applyBorder="1" applyAlignment="1">
      <alignment horizontal="center" vertical="center"/>
    </xf>
    <xf numFmtId="0" fontId="32" fillId="27" borderId="3" xfId="0" applyFont="1" applyFill="1" applyBorder="1" applyAlignment="1">
      <alignment horizontal="center" vertical="center"/>
    </xf>
    <xf numFmtId="0" fontId="32" fillId="27" borderId="1" xfId="0" applyFont="1" applyFill="1" applyBorder="1" applyAlignment="1">
      <alignment horizontal="center" vertical="center"/>
    </xf>
    <xf numFmtId="0" fontId="32" fillId="27" borderId="2" xfId="0" applyFont="1" applyFill="1" applyBorder="1" applyAlignment="1">
      <alignment horizontal="center" vertical="center"/>
    </xf>
  </cellXfs>
  <cellStyles count="8">
    <cellStyle name="20% - Accent1" xfId="1" builtinId="30"/>
    <cellStyle name="20% - Accent6" xfId="6" builtinId="50"/>
    <cellStyle name="40% - Accent3" xfId="3" builtinId="39"/>
    <cellStyle name="40% - Accent4" xfId="4" builtinId="43"/>
    <cellStyle name="40% - Accent5" xfId="5" builtinId="47"/>
    <cellStyle name="Accent3" xfId="7" builtinId="37"/>
    <cellStyle name="Currency" xfId="2" builtinId="4"/>
    <cellStyle name="Normal" xfId="0" builtinId="0"/>
  </cellStyles>
  <dxfs count="84">
    <dxf>
      <font>
        <b val="0"/>
        <i val="0"/>
        <strike val="0"/>
        <condense val="0"/>
        <extend val="0"/>
        <outline val="0"/>
        <shadow val="0"/>
        <u val="none"/>
        <vertAlign val="baseline"/>
        <sz val="11"/>
        <color theme="1"/>
        <name val="Calibri"/>
        <family val="2"/>
        <scheme val="minor"/>
      </font>
      <numFmt numFmtId="175" formatCode="&quot;$&quot;#,##0"/>
      <fill>
        <patternFill patternType="solid">
          <fgColor indexed="64"/>
          <bgColor rgb="FFFFE697"/>
        </patternFill>
      </fill>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rgb="FFFFE697"/>
        </patternFill>
      </fill>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bottom style="thin">
          <color indexed="64"/>
        </bottom>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fill>
        <patternFill patternType="solid">
          <fgColor indexed="64"/>
          <bgColor rgb="FFFFE697"/>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175" formatCode="&quot;$&quot;#,##0"/>
      <fill>
        <patternFill patternType="solid">
          <fgColor indexed="64"/>
          <bgColor rgb="FFFFE697"/>
        </patternFill>
      </fill>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fill>
        <patternFill patternType="solid">
          <fgColor indexed="64"/>
          <bgColor rgb="FFFFE697"/>
        </patternFill>
      </fill>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bottom style="thin">
          <color indexed="64"/>
        </bottom>
      </border>
    </dxf>
    <dxf>
      <border outline="0">
        <left style="thin">
          <color indexed="64"/>
        </left>
        <right style="thin">
          <color indexed="64"/>
        </right>
        <top style="thin">
          <color indexed="64"/>
        </top>
        <bottom style="thin">
          <color indexed="64"/>
        </bottom>
      </border>
    </dxf>
    <dxf>
      <fill>
        <patternFill patternType="solid">
          <fgColor indexed="64"/>
          <bgColor rgb="FFFFE697"/>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175" formatCode="&quot;$&quot;#,##0"/>
      <fill>
        <patternFill patternType="solid">
          <fgColor indexed="64"/>
          <bgColor rgb="FFFFE697"/>
        </patternFill>
      </fill>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fill>
        <patternFill patternType="solid">
          <fgColor indexed="64"/>
          <bgColor rgb="FFFFE697"/>
        </patternFill>
      </fill>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bottom style="thin">
          <color indexed="64"/>
        </bottom>
      </border>
    </dxf>
    <dxf>
      <border outline="0">
        <left style="thin">
          <color indexed="64"/>
        </left>
        <right style="thin">
          <color indexed="64"/>
        </right>
        <top style="thin">
          <color indexed="64"/>
        </top>
        <bottom style="thin">
          <color indexed="64"/>
        </bottom>
      </border>
    </dxf>
    <dxf>
      <fill>
        <patternFill patternType="solid">
          <fgColor indexed="64"/>
          <bgColor rgb="FFFFE697"/>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175" formatCode="&quot;$&quot;#,##0"/>
      <fill>
        <patternFill patternType="solid">
          <fgColor indexed="64"/>
          <bgColor rgb="FFFFE697"/>
        </patternFill>
      </fill>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fill>
        <patternFill patternType="solid">
          <fgColor indexed="64"/>
          <bgColor rgb="FFFFE697"/>
        </patternFill>
      </fill>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bottom style="thin">
          <color indexed="64"/>
        </bottom>
      </border>
    </dxf>
    <dxf>
      <border outline="0">
        <top style="thin">
          <color indexed="64"/>
        </top>
      </border>
    </dxf>
    <dxf>
      <fill>
        <patternFill patternType="solid">
          <fgColor indexed="64"/>
          <bgColor rgb="FFFFE697"/>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175" formatCode="&quot;$&quot;#,##0"/>
      <fill>
        <patternFill patternType="solid">
          <fgColor indexed="64"/>
          <bgColor rgb="FFFFE697"/>
        </patternFill>
      </fill>
      <alignment horizontal="center" vertical="bottom" textRotation="0" wrapText="0" indent="0" justifyLastLine="0" shrinkToFit="0" readingOrder="0"/>
      <border diagonalUp="0" diagonalDown="0" outline="0">
        <left style="thin">
          <color indexed="64"/>
        </left>
        <right/>
        <top style="thin">
          <color indexed="64"/>
        </top>
        <bottom style="thin">
          <color indexed="64"/>
        </bottom>
      </border>
    </dxf>
    <dxf>
      <fill>
        <patternFill patternType="solid">
          <fgColor indexed="64"/>
          <bgColor rgb="FFFFE697"/>
        </patternFill>
      </fill>
      <alignment horizontal="center" vertical="bottom" textRotation="0" wrapText="0" indent="0" justifyLastLine="0" shrinkToFit="0" readingOrder="0"/>
      <border diagonalUp="0" diagonalDown="0">
        <left/>
        <right style="thin">
          <color indexed="64"/>
        </right>
        <top style="thin">
          <color indexed="64"/>
        </top>
        <bottom style="thin">
          <color indexed="64"/>
        </bottom>
      </border>
    </dxf>
    <dxf>
      <border outline="0">
        <top style="thin">
          <color indexed="64"/>
        </top>
      </border>
    </dxf>
    <dxf>
      <border outline="0">
        <bottom style="thin">
          <color indexed="64"/>
        </bottom>
      </border>
    </dxf>
    <dxf>
      <border outline="0">
        <left style="thin">
          <color indexed="64"/>
        </left>
        <right style="thin">
          <color indexed="64"/>
        </right>
        <top style="thin">
          <color indexed="64"/>
        </top>
        <bottom style="thin">
          <color indexed="64"/>
        </bottom>
      </border>
    </dxf>
    <dxf>
      <fill>
        <patternFill patternType="solid">
          <fgColor indexed="64"/>
          <bgColor rgb="FFFFE697"/>
        </patternFill>
      </fill>
      <alignment horizontal="center" vertical="bottom" textRotation="0" wrapText="0" indent="0" justifyLastLine="0" shrinkToFit="0" readingOrder="0"/>
    </dxf>
    <dxf>
      <fill>
        <patternFill patternType="solid">
          <fgColor indexed="64"/>
          <bgColor rgb="FFFFE697"/>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175" formatCode="&quot;$&quot;#,##0"/>
    </dxf>
    <dxf>
      <numFmt numFmtId="175" formatCode="&quot;$&quot;#,##0"/>
    </dxf>
    <dxf>
      <numFmt numFmtId="175" formatCode="&quot;$&quot;#,##0"/>
    </dxf>
    <dxf>
      <numFmt numFmtId="175" formatCode="&quot;$&quot;#,##0"/>
    </dxf>
    <dxf>
      <numFmt numFmtId="19" formatCode="d/m/yyyy"/>
    </dxf>
    <dxf>
      <numFmt numFmtId="172" formatCode="&quot;$&quot;#,##0.00"/>
      <fill>
        <patternFill patternType="solid">
          <fgColor indexed="64"/>
          <bgColor theme="8" tint="0.59999389629810485"/>
        </patternFill>
      </fill>
      <border diagonalUp="0" diagonalDown="0" outline="0">
        <left style="thin">
          <color indexed="64"/>
        </left>
        <right/>
        <top style="thin">
          <color indexed="64"/>
        </top>
        <bottom style="thin">
          <color indexed="64"/>
        </bottom>
      </border>
    </dxf>
    <dxf>
      <fill>
        <patternFill patternType="solid">
          <fgColor indexed="64"/>
          <bgColor theme="8" tint="0.59999389629810485"/>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8" formatCode="#,##0.00;[Red]\-#,##0.00"/>
      <fill>
        <patternFill patternType="solid">
          <fgColor indexed="64"/>
          <bgColor theme="8" tint="0.59999389629810485"/>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8" tint="0.59999389629810485"/>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8" tint="0.59999389629810485"/>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8" tint="0.59999389629810485"/>
        </patternFill>
      </fill>
      <border diagonalUp="0" diagonalDown="0" outline="0">
        <left/>
        <right style="thin">
          <color indexed="64"/>
        </right>
        <top style="thin">
          <color indexed="64"/>
        </top>
        <bottom style="thin">
          <color indexed="64"/>
        </bottom>
      </border>
    </dxf>
    <dxf>
      <fill>
        <patternFill patternType="solid">
          <fgColor indexed="64"/>
          <bgColor theme="8" tint="0.59999389629810485"/>
        </patternFill>
      </fill>
    </dxf>
    <dxf>
      <font>
        <strike val="0"/>
        <outline val="0"/>
        <shadow val="0"/>
        <u val="none"/>
        <vertAlign val="baseline"/>
        <sz val="11"/>
        <color auto="1"/>
        <name val="Calibri"/>
        <family val="2"/>
        <scheme val="minor"/>
      </font>
      <fill>
        <patternFill patternType="solid">
          <fgColor indexed="64"/>
          <bgColor theme="8" tint="0.59999389629810485"/>
        </patternFill>
      </fill>
      <border diagonalUp="0" diagonalDown="0" outline="0">
        <left style="thin">
          <color indexed="64"/>
        </left>
        <right style="thin">
          <color indexed="64"/>
        </right>
        <top/>
        <bottom/>
      </border>
    </dxf>
    <dxf>
      <font>
        <strike val="0"/>
        <outline val="0"/>
        <shadow val="0"/>
        <u val="none"/>
        <vertAlign val="baseline"/>
        <color auto="1"/>
        <name val="Calibri"/>
        <family val="2"/>
        <scheme val="minor"/>
      </font>
      <numFmt numFmtId="0" formatCode="General"/>
      <fill>
        <patternFill patternType="solid">
          <fgColor indexed="64"/>
          <bgColor rgb="FFFAD3E9"/>
        </patternFill>
      </fill>
    </dxf>
    <dxf>
      <font>
        <strike val="0"/>
        <outline val="0"/>
        <shadow val="0"/>
        <u val="none"/>
        <vertAlign val="baseline"/>
        <color auto="1"/>
        <name val="Calibri"/>
        <family val="2"/>
        <scheme val="minor"/>
      </font>
      <fill>
        <patternFill patternType="solid">
          <fgColor indexed="64"/>
          <bgColor rgb="FFFAD3E9"/>
        </patternFill>
      </fill>
    </dxf>
    <dxf>
      <font>
        <strike val="0"/>
        <outline val="0"/>
        <shadow val="0"/>
        <u val="none"/>
        <vertAlign val="baseline"/>
        <color auto="1"/>
        <name val="Calibri"/>
        <family val="2"/>
        <scheme val="minor"/>
      </font>
      <fill>
        <patternFill patternType="solid">
          <fgColor indexed="64"/>
          <bgColor rgb="FFFAD3E9"/>
        </patternFill>
      </fill>
    </dxf>
    <dxf>
      <font>
        <strike val="0"/>
        <outline val="0"/>
        <shadow val="0"/>
        <u val="none"/>
        <vertAlign val="baseline"/>
        <color auto="1"/>
        <name val="Calibri"/>
        <family val="2"/>
        <scheme val="minor"/>
      </font>
      <fill>
        <patternFill patternType="solid">
          <fgColor indexed="64"/>
          <bgColor rgb="FFFAD3E9"/>
        </patternFill>
      </fill>
    </dxf>
    <dxf>
      <font>
        <strike val="0"/>
        <outline val="0"/>
        <shadow val="0"/>
        <u val="none"/>
        <vertAlign val="baseline"/>
        <color auto="1"/>
        <name val="Calibri"/>
        <family val="2"/>
        <scheme val="minor"/>
      </font>
      <numFmt numFmtId="0" formatCode="General"/>
      <fill>
        <patternFill patternType="solid">
          <fgColor indexed="64"/>
          <bgColor rgb="FFFAD3E9"/>
        </patternFill>
      </fill>
    </dxf>
    <dxf>
      <font>
        <strike val="0"/>
        <outline val="0"/>
        <shadow val="0"/>
        <u val="none"/>
        <vertAlign val="baseline"/>
        <color auto="1"/>
        <name val="Calibri"/>
        <family val="2"/>
        <scheme val="minor"/>
      </font>
      <fill>
        <patternFill patternType="solid">
          <fgColor indexed="64"/>
          <bgColor rgb="FFFAD3E9"/>
        </patternFill>
      </fill>
    </dxf>
    <dxf>
      <font>
        <strike val="0"/>
        <outline val="0"/>
        <shadow val="0"/>
        <u val="none"/>
        <vertAlign val="baseline"/>
        <color auto="1"/>
        <name val="Calibri"/>
        <family val="2"/>
        <scheme val="minor"/>
      </font>
      <fill>
        <patternFill patternType="solid">
          <fgColor indexed="64"/>
          <bgColor rgb="FFFAD3E9"/>
        </patternFill>
      </fill>
    </dxf>
    <dxf>
      <font>
        <strike val="0"/>
        <outline val="0"/>
        <shadow val="0"/>
        <u val="none"/>
        <vertAlign val="baseline"/>
        <color auto="1"/>
        <name val="Calibri"/>
        <family val="2"/>
        <scheme val="minor"/>
      </font>
      <fill>
        <patternFill patternType="solid">
          <fgColor indexed="64"/>
          <bgColor rgb="FFFAD3E9"/>
        </patternFill>
      </fill>
    </dxf>
    <dxf>
      <font>
        <strike val="0"/>
        <outline val="0"/>
        <shadow val="0"/>
        <u val="none"/>
        <vertAlign val="baseline"/>
        <color auto="1"/>
        <name val="Calibri"/>
        <family val="2"/>
        <scheme val="minor"/>
      </font>
      <numFmt numFmtId="0" formatCode="General"/>
      <fill>
        <patternFill patternType="solid">
          <fgColor indexed="64"/>
          <bgColor rgb="FFFAD3E9"/>
        </patternFill>
      </fill>
    </dxf>
    <dxf>
      <font>
        <strike val="0"/>
        <outline val="0"/>
        <shadow val="0"/>
        <u val="none"/>
        <vertAlign val="baseline"/>
        <color auto="1"/>
        <name val="Calibri"/>
        <family val="2"/>
        <scheme val="minor"/>
      </font>
      <fill>
        <patternFill patternType="solid">
          <fgColor indexed="64"/>
          <bgColor rgb="FFFAD3E9"/>
        </patternFill>
      </fill>
    </dxf>
    <dxf>
      <font>
        <strike val="0"/>
        <outline val="0"/>
        <shadow val="0"/>
        <u val="none"/>
        <vertAlign val="baseline"/>
        <color auto="1"/>
        <name val="Calibri"/>
        <family val="2"/>
        <scheme val="minor"/>
      </font>
      <fill>
        <patternFill patternType="solid">
          <fgColor indexed="64"/>
          <bgColor rgb="FFFAD3E9"/>
        </patternFill>
      </fill>
    </dxf>
    <dxf>
      <font>
        <strike val="0"/>
        <outline val="0"/>
        <shadow val="0"/>
        <u val="none"/>
        <vertAlign val="baseline"/>
        <color auto="1"/>
        <name val="Calibri"/>
        <family val="2"/>
        <scheme val="minor"/>
      </font>
      <fill>
        <patternFill patternType="solid">
          <fgColor indexed="64"/>
          <bgColor rgb="FFFAD3E9"/>
        </patternFill>
      </fill>
    </dxf>
    <dxf>
      <font>
        <strike val="0"/>
        <outline val="0"/>
        <shadow val="0"/>
        <u val="none"/>
        <vertAlign val="baseline"/>
        <color auto="1"/>
        <name val="Calibri"/>
        <family val="2"/>
        <scheme val="minor"/>
      </font>
      <numFmt numFmtId="0" formatCode="General"/>
      <fill>
        <patternFill patternType="solid">
          <fgColor indexed="64"/>
          <bgColor rgb="FFFAD3E9"/>
        </patternFill>
      </fill>
    </dxf>
    <dxf>
      <font>
        <strike val="0"/>
        <outline val="0"/>
        <shadow val="0"/>
        <u val="none"/>
        <vertAlign val="baseline"/>
        <color auto="1"/>
        <name val="Calibri"/>
        <family val="2"/>
        <scheme val="minor"/>
      </font>
      <fill>
        <patternFill patternType="solid">
          <fgColor indexed="64"/>
          <bgColor rgb="FFFAD3E9"/>
        </patternFill>
      </fill>
    </dxf>
    <dxf>
      <font>
        <strike val="0"/>
        <outline val="0"/>
        <shadow val="0"/>
        <u val="none"/>
        <vertAlign val="baseline"/>
        <color auto="1"/>
        <name val="Calibri"/>
        <family val="2"/>
        <scheme val="minor"/>
      </font>
      <fill>
        <patternFill patternType="solid">
          <fgColor indexed="64"/>
          <bgColor rgb="FFFAD3E9"/>
        </patternFill>
      </fill>
    </dxf>
    <dxf>
      <font>
        <strike val="0"/>
        <outline val="0"/>
        <shadow val="0"/>
        <u val="none"/>
        <vertAlign val="baseline"/>
        <color auto="1"/>
        <name val="Calibri"/>
        <family val="2"/>
        <scheme val="minor"/>
      </font>
      <fill>
        <patternFill patternType="solid">
          <fgColor indexed="64"/>
          <bgColor rgb="FFFAD3E9"/>
        </patternFill>
      </fill>
    </dxf>
    <dxf>
      <font>
        <strike val="0"/>
        <outline val="0"/>
        <shadow val="0"/>
        <u val="none"/>
        <vertAlign val="baseline"/>
        <color auto="1"/>
        <name val="Calibri"/>
        <family val="2"/>
        <scheme val="minor"/>
      </font>
      <numFmt numFmtId="0" formatCode="General"/>
      <fill>
        <patternFill patternType="solid">
          <fgColor indexed="64"/>
          <bgColor rgb="FFFAD3E9"/>
        </patternFill>
      </fill>
    </dxf>
    <dxf>
      <font>
        <b/>
        <i val="0"/>
        <strike val="0"/>
        <condense val="0"/>
        <extend val="0"/>
        <outline val="0"/>
        <shadow val="0"/>
        <u val="none"/>
        <vertAlign val="baseline"/>
        <sz val="11"/>
        <color auto="1"/>
        <name val="Calibri"/>
        <family val="2"/>
        <scheme val="minor"/>
      </font>
      <fill>
        <patternFill patternType="solid">
          <fgColor indexed="64"/>
          <bgColor rgb="FFFAA8F2"/>
        </patternFill>
      </fill>
    </dxf>
    <dxf>
      <font>
        <strike val="0"/>
        <outline val="0"/>
        <shadow val="0"/>
        <u val="none"/>
        <vertAlign val="baseline"/>
        <color auto="1"/>
        <name val="Calibri"/>
        <family val="2"/>
        <scheme val="minor"/>
      </font>
      <fill>
        <patternFill patternType="solid">
          <fgColor indexed="64"/>
          <bgColor rgb="FFFAD3E9"/>
        </patternFill>
      </fill>
    </dxf>
    <dxf>
      <font>
        <b/>
        <i val="0"/>
        <strike val="0"/>
        <condense val="0"/>
        <extend val="0"/>
        <outline val="0"/>
        <shadow val="0"/>
        <u val="none"/>
        <vertAlign val="baseline"/>
        <sz val="11"/>
        <color auto="1"/>
        <name val="Calibri"/>
        <family val="2"/>
        <scheme val="minor"/>
      </font>
      <fill>
        <patternFill patternType="solid">
          <fgColor indexed="64"/>
          <bgColor rgb="FFFAA8F2"/>
        </patternFill>
      </fill>
    </dxf>
    <dxf>
      <font>
        <b/>
        <family val="2"/>
      </font>
      <fill>
        <patternFill patternType="solid">
          <fgColor indexed="64"/>
          <bgColor rgb="FFFAD3E9"/>
        </patternFill>
      </fill>
    </dxf>
    <dxf>
      <font>
        <strike val="0"/>
        <outline val="0"/>
        <shadow val="0"/>
        <u val="none"/>
        <vertAlign val="baseline"/>
        <color auto="1"/>
        <name val="Calibri"/>
        <family val="2"/>
        <scheme val="minor"/>
      </font>
      <fill>
        <patternFill patternType="solid">
          <fgColor indexed="64"/>
          <bgColor rgb="FFFAD3E9"/>
        </patternFill>
      </fill>
    </dxf>
    <dxf>
      <font>
        <strike val="0"/>
        <outline val="0"/>
        <shadow val="0"/>
        <u val="none"/>
        <vertAlign val="baseline"/>
        <color auto="1"/>
        <name val="Calibri"/>
        <family val="2"/>
        <scheme val="minor"/>
      </font>
      <fill>
        <patternFill patternType="solid">
          <fgColor indexed="64"/>
          <bgColor rgb="FFFAD3E9"/>
        </patternFill>
      </fill>
    </dxf>
    <dxf>
      <numFmt numFmtId="0" formatCode="General"/>
      <fill>
        <patternFill patternType="solid">
          <fgColor indexed="64"/>
          <bgColor rgb="FFFFCC99"/>
        </patternFill>
      </fill>
    </dxf>
    <dxf>
      <fill>
        <patternFill patternType="solid">
          <fgColor indexed="64"/>
          <bgColor rgb="FFFFCC99"/>
        </patternFill>
      </fill>
    </dxf>
    <dxf>
      <fill>
        <patternFill patternType="solid">
          <fgColor indexed="64"/>
          <bgColor rgb="FFFFCC99"/>
        </patternFill>
      </fill>
    </dxf>
    <dxf>
      <fill>
        <patternFill patternType="solid">
          <fgColor indexed="64"/>
          <bgColor rgb="FFFFCC99"/>
        </patternFill>
      </fill>
    </dxf>
    <dxf>
      <numFmt numFmtId="0" formatCode="General"/>
      <fill>
        <patternFill patternType="solid">
          <fgColor indexed="64"/>
          <bgColor rgb="FFFFCC99"/>
        </patternFill>
      </fill>
    </dxf>
    <dxf>
      <fill>
        <patternFill patternType="solid">
          <fgColor indexed="64"/>
          <bgColor rgb="FFFFCC99"/>
        </patternFill>
      </fill>
    </dxf>
    <dxf>
      <fill>
        <patternFill patternType="solid">
          <fgColor indexed="64"/>
          <bgColor rgb="FFFFCC99"/>
        </patternFill>
      </fill>
    </dxf>
    <dxf>
      <fill>
        <patternFill patternType="solid">
          <fgColor indexed="64"/>
          <bgColor rgb="FFFFCC99"/>
        </patternFill>
      </fill>
    </dxf>
    <dxf>
      <numFmt numFmtId="0" formatCode="General"/>
      <fill>
        <patternFill patternType="solid">
          <fgColor indexed="64"/>
          <bgColor rgb="FFFFCC99"/>
        </patternFill>
      </fill>
    </dxf>
    <dxf>
      <fill>
        <patternFill patternType="solid">
          <fgColor indexed="64"/>
          <bgColor rgb="FFFFCC99"/>
        </patternFill>
      </fill>
    </dxf>
    <dxf>
      <fill>
        <patternFill patternType="solid">
          <fgColor indexed="64"/>
          <bgColor rgb="FFFFCC99"/>
        </patternFill>
      </fill>
    </dxf>
    <dxf>
      <fill>
        <patternFill patternType="solid">
          <fgColor indexed="64"/>
          <bgColor rgb="FFFFCC99"/>
        </patternFill>
      </fill>
    </dxf>
    <dxf>
      <fill>
        <patternFill patternType="solid">
          <fgColor indexed="64"/>
          <bgColor rgb="FFFFCC99"/>
        </patternFill>
      </fill>
    </dxf>
    <dxf>
      <fill>
        <patternFill patternType="solid">
          <fgColor indexed="64"/>
          <bgColor rgb="FFFFCC99"/>
        </patternFill>
      </fill>
    </dxf>
    <dxf>
      <fill>
        <patternFill patternType="solid">
          <fgColor indexed="64"/>
          <bgColor rgb="FFFFCC99"/>
        </patternFill>
      </fill>
    </dxf>
    <dxf>
      <fill>
        <patternFill patternType="solid">
          <fgColor indexed="64"/>
          <bgColor rgb="FFFFCC99"/>
        </patternFill>
      </fill>
    </dxf>
    <dxf>
      <fill>
        <gradientFill degree="90">
          <stop position="0">
            <color theme="0"/>
          </stop>
          <stop position="1">
            <color theme="4"/>
          </stop>
        </gradientFill>
      </fill>
    </dxf>
  </dxfs>
  <tableStyles count="2" defaultTableStyle="TableStyleMedium2" defaultPivotStyle="PivotStyleLight16">
    <tableStyle name="Table Style 1" pivot="0" count="1" xr9:uid="{AED071F5-6A39-47E5-B30D-B83A60DE1280}">
      <tableStyleElement type="wholeTable" dxfId="83"/>
    </tableStyle>
    <tableStyle name="Table Style 2" pivot="0" count="0" xr9:uid="{A757AE4C-11CA-43A8-9322-D21C9C14D238}"/>
  </tableStyles>
  <colors>
    <mruColors>
      <color rgb="FFFAD3E9"/>
      <color rgb="FFB083E1"/>
      <color rgb="FFDAC5F1"/>
      <color rgb="FFD6BFEF"/>
      <color rgb="FFB8DCF1"/>
      <color rgb="FF8AE6C1"/>
      <color rgb="FFCCAFEB"/>
      <color rgb="FFC3A2E8"/>
      <color rgb="FF9FFFCA"/>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17/06/relationships/rdSupportingPropertyBag" Target="richData/rdsupportingpropertybag.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17/06/relationships/rdSupportingPropertyBagStructure" Target="richData/rdsupportingpropertybagstructure.xml"/><Relationship Id="rId2" Type="http://schemas.openxmlformats.org/officeDocument/2006/relationships/worksheet" Target="worksheets/sheet2.xml"/><Relationship Id="rId16" Type="http://schemas.microsoft.com/office/2017/06/relationships/richStyles" Target="richData/richStyles.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24" Type="http://schemas.microsoft.com/office/2006/relationships/vbaProject" Target="vbaProject.bin"/><Relationship Id="rId5" Type="http://schemas.openxmlformats.org/officeDocument/2006/relationships/worksheet" Target="worksheets/sheet5.xml"/><Relationship Id="rId15" Type="http://schemas.microsoft.com/office/2017/06/relationships/rdRichValueStructure" Target="richData/rdrichvaluestructure.xml"/><Relationship Id="rId23" Type="http://schemas.openxmlformats.org/officeDocument/2006/relationships/customXml" Target="../customXml/item3.xml"/><Relationship Id="rId10" Type="http://schemas.openxmlformats.org/officeDocument/2006/relationships/theme" Target="theme/theme1.xml"/><Relationship Id="rId19"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17/06/relationships/rdRichValue" Target="richData/rdrichvalue.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6953-4C10-8DDE-9A78BDA32B0A}"/>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6953-4C10-8DDE-9A78BDA32B0A}"/>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6953-4C10-8DDE-9A78BDA32B0A}"/>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6953-4C10-8DDE-9A78BDA32B0A}"/>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Assets!$P$18:$P$21</c:f>
              <c:strCache>
                <c:ptCount val="4"/>
                <c:pt idx="0">
                  <c:v>SALARY</c:v>
                </c:pt>
                <c:pt idx="1">
                  <c:v>SUBSIDY</c:v>
                </c:pt>
                <c:pt idx="2">
                  <c:v>INVESTMENTS</c:v>
                </c:pt>
                <c:pt idx="3">
                  <c:v>OTHERS</c:v>
                </c:pt>
              </c:strCache>
            </c:strRef>
          </c:cat>
          <c:val>
            <c:numRef>
              <c:f>Assets!$Q$18:$Q$21</c:f>
              <c:numCache>
                <c:formatCode>General</c:formatCode>
                <c:ptCount val="4"/>
                <c:pt idx="0">
                  <c:v>0</c:v>
                </c:pt>
                <c:pt idx="1">
                  <c:v>500</c:v>
                </c:pt>
                <c:pt idx="2">
                  <c:v>500</c:v>
                </c:pt>
                <c:pt idx="3">
                  <c:v>500</c:v>
                </c:pt>
              </c:numCache>
            </c:numRef>
          </c:val>
          <c:extLst>
            <c:ext xmlns:c16="http://schemas.microsoft.com/office/drawing/2014/chart" uri="{C3380CC4-5D6E-409C-BE32-E72D297353CC}">
              <c16:uniqueId val="{00000000-F37C-4C35-AF82-A1EF606BFB04}"/>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t"/>
      <c:layout>
        <c:manualLayout>
          <c:xMode val="edge"/>
          <c:yMode val="edge"/>
          <c:x val="0.21771644347017222"/>
          <c:y val="2.6770812713876865E-2"/>
          <c:w val="0.58392230782692345"/>
          <c:h val="0.1438938950368343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7135-4F91-A006-41C9DC807D4A}"/>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7135-4F91-A006-41C9DC807D4A}"/>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7135-4F91-A006-41C9DC807D4A}"/>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7135-4F91-A006-41C9DC807D4A}"/>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7135-4F91-A006-41C9DC807D4A}"/>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Liabilities!$A$26:$A$30</c:f>
              <c:strCache>
                <c:ptCount val="5"/>
                <c:pt idx="0">
                  <c:v>HOUSEHOLD</c:v>
                </c:pt>
                <c:pt idx="1">
                  <c:v>UTILITIES</c:v>
                </c:pt>
                <c:pt idx="2">
                  <c:v>RENTAL</c:v>
                </c:pt>
                <c:pt idx="3">
                  <c:v>MORTGAGE </c:v>
                </c:pt>
                <c:pt idx="4">
                  <c:v>BANK LOAN</c:v>
                </c:pt>
              </c:strCache>
            </c:strRef>
          </c:cat>
          <c:val>
            <c:numRef>
              <c:f>Liabilities!$B$26:$B$30</c:f>
              <c:numCache>
                <c:formatCode>General</c:formatCode>
                <c:ptCount val="5"/>
                <c:pt idx="0">
                  <c:v>900</c:v>
                </c:pt>
                <c:pt idx="1">
                  <c:v>100</c:v>
                </c:pt>
                <c:pt idx="2">
                  <c:v>0</c:v>
                </c:pt>
                <c:pt idx="3">
                  <c:v>0</c:v>
                </c:pt>
                <c:pt idx="4">
                  <c:v>0</c:v>
                </c:pt>
              </c:numCache>
            </c:numRef>
          </c:val>
          <c:extLst>
            <c:ext xmlns:c16="http://schemas.microsoft.com/office/drawing/2014/chart" uri="{C3380CC4-5D6E-409C-BE32-E72D297353CC}">
              <c16:uniqueId val="{00000000-4EF9-4B48-82B1-4E23D3F1BAB9}"/>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t"/>
      <c:layout>
        <c:manualLayout>
          <c:xMode val="edge"/>
          <c:yMode val="edge"/>
          <c:x val="0.19513842597713238"/>
          <c:y val="3.8476374612139486E-2"/>
          <c:w val="0.6730274916308312"/>
          <c:h val="0.1555960352299529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654946901866946E-2"/>
          <c:y val="0.28072734910255071"/>
          <c:w val="0.75863279167993047"/>
          <c:h val="0.64039250247482571"/>
        </c:manualLayout>
      </c:layout>
      <c:doughnutChart>
        <c:varyColors val="1"/>
        <c:ser>
          <c:idx val="0"/>
          <c:order val="0"/>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7AFD-4990-AF64-12D58D52D60D}"/>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6-7AFD-4990-AF64-12D58D52D60D}"/>
              </c:ext>
            </c:extLst>
          </c:dPt>
          <c:dPt>
            <c:idx val="2"/>
            <c:bubble3D val="0"/>
            <c:spPr>
              <a:solidFill>
                <a:schemeClr val="accent3"/>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7AFD-4990-AF64-12D58D52D60D}"/>
              </c:ext>
            </c:extLst>
          </c:dPt>
          <c:dPt>
            <c:idx val="3"/>
            <c:bubble3D val="0"/>
            <c:spPr>
              <a:solidFill>
                <a:schemeClr val="accent4"/>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4-7AFD-4990-AF64-12D58D52D60D}"/>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Investments!$N$4:$N$7</c:f>
              <c:strCache>
                <c:ptCount val="4"/>
                <c:pt idx="0">
                  <c:v>Pharmaceuticals</c:v>
                </c:pt>
                <c:pt idx="1">
                  <c:v>Textiles &amp; Apparel</c:v>
                </c:pt>
                <c:pt idx="2">
                  <c:v>Software &amp; IT Services</c:v>
                </c:pt>
                <c:pt idx="3">
                  <c:v>Computers, Phones &amp; Household Electronics</c:v>
                </c:pt>
              </c:strCache>
            </c:strRef>
          </c:cat>
          <c:val>
            <c:numRef>
              <c:f>Investments!$O$4:$O$7</c:f>
              <c:numCache>
                <c:formatCode>General</c:formatCode>
                <c:ptCount val="4"/>
                <c:pt idx="0">
                  <c:v>3056</c:v>
                </c:pt>
                <c:pt idx="1">
                  <c:v>3740.25</c:v>
                </c:pt>
                <c:pt idx="2">
                  <c:v>2740.34</c:v>
                </c:pt>
                <c:pt idx="3">
                  <c:v>2582.5499999999997</c:v>
                </c:pt>
              </c:numCache>
            </c:numRef>
          </c:val>
          <c:extLst>
            <c:ext xmlns:c16="http://schemas.microsoft.com/office/drawing/2014/chart" uri="{C3380CC4-5D6E-409C-BE32-E72D297353CC}">
              <c16:uniqueId val="{00000000-7AFD-4990-AF64-12D58D52D60D}"/>
            </c:ext>
          </c:extLst>
        </c:ser>
        <c:dLbls>
          <c:showLegendKey val="0"/>
          <c:showVal val="1"/>
          <c:showCatName val="0"/>
          <c:showSerName val="0"/>
          <c:showPercent val="0"/>
          <c:showBubbleSize val="0"/>
          <c:showLeaderLines val="1"/>
        </c:dLbls>
        <c:firstSliceAng val="0"/>
        <c:holeSize val="61"/>
      </c:doughnutChart>
      <c:spPr>
        <a:noFill/>
        <a:ln>
          <a:noFill/>
        </a:ln>
        <a:effectLst/>
      </c:spPr>
    </c:plotArea>
    <c:legend>
      <c:legendPos val="b"/>
      <c:layout>
        <c:manualLayout>
          <c:xMode val="edge"/>
          <c:yMode val="edge"/>
          <c:x val="8.4586844445095049E-3"/>
          <c:y val="4.0062954246282449E-3"/>
          <c:w val="0.82871385064221492"/>
          <c:h val="0.19070006038420415"/>
        </c:manualLayout>
      </c:layout>
      <c:overlay val="0"/>
      <c:spPr>
        <a:noFill/>
        <a:ln>
          <a:noFill/>
        </a:ln>
        <a:effectLst/>
      </c:spPr>
      <c:txPr>
        <a:bodyPr rot="0" spcFirstLastPara="1" vertOverflow="ellipsis" vert="horz" wrap="square" anchor="ctr" anchorCtr="1"/>
        <a:lstStyle/>
        <a:p>
          <a:pPr>
            <a:defRPr sz="105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SG">
                <a:solidFill>
                  <a:schemeClr val="accent1">
                    <a:lumMod val="60000"/>
                    <a:lumOff val="40000"/>
                  </a:schemeClr>
                </a:solidFill>
              </a:rPr>
              <a:t>PREDICTION</a:t>
            </a:r>
            <a:r>
              <a:rPr lang="en-SG" baseline="0"/>
              <a:t> VS </a:t>
            </a:r>
            <a:r>
              <a:rPr lang="en-SG" baseline="0">
                <a:solidFill>
                  <a:schemeClr val="accent2">
                    <a:lumMod val="40000"/>
                    <a:lumOff val="60000"/>
                  </a:schemeClr>
                </a:solidFill>
              </a:rPr>
              <a:t>AVERAGE</a:t>
            </a:r>
            <a:endParaRPr lang="en-SG">
              <a:solidFill>
                <a:schemeClr val="accent2">
                  <a:lumMod val="40000"/>
                  <a:lumOff val="60000"/>
                </a:schemeClr>
              </a:solidFill>
            </a:endParaRP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lineChart>
        <c:grouping val="standard"/>
        <c:varyColors val="0"/>
        <c:ser>
          <c:idx val="0"/>
          <c:order val="0"/>
          <c:spPr>
            <a:ln w="22225" cap="rnd">
              <a:solidFill>
                <a:schemeClr val="accent1"/>
              </a:solidFill>
            </a:ln>
            <a:effectLst>
              <a:glow rad="139700">
                <a:schemeClr val="accent1">
                  <a:satMod val="175000"/>
                  <a:alpha val="14000"/>
                </a:schemeClr>
              </a:glow>
            </a:effectLst>
          </c:spPr>
          <c:marker>
            <c:symbol val="none"/>
          </c:marker>
          <c:cat>
            <c:numRef>
              <c:f>Sheet1!$A$14:$A$25</c:f>
              <c:numCache>
                <c:formatCode>m/d/yyyy</c:formatCode>
                <c:ptCount val="12"/>
                <c:pt idx="0">
                  <c:v>44927</c:v>
                </c:pt>
                <c:pt idx="1">
                  <c:v>44958</c:v>
                </c:pt>
                <c:pt idx="2">
                  <c:v>44986</c:v>
                </c:pt>
                <c:pt idx="3">
                  <c:v>45017</c:v>
                </c:pt>
                <c:pt idx="4">
                  <c:v>45047</c:v>
                </c:pt>
                <c:pt idx="5">
                  <c:v>45078</c:v>
                </c:pt>
                <c:pt idx="6">
                  <c:v>45108</c:v>
                </c:pt>
                <c:pt idx="7">
                  <c:v>45139</c:v>
                </c:pt>
                <c:pt idx="8">
                  <c:v>45170</c:v>
                </c:pt>
                <c:pt idx="9">
                  <c:v>45200</c:v>
                </c:pt>
                <c:pt idx="10">
                  <c:v>45231</c:v>
                </c:pt>
                <c:pt idx="11">
                  <c:v>45261</c:v>
                </c:pt>
              </c:numCache>
            </c:numRef>
          </c:cat>
          <c:val>
            <c:numRef>
              <c:f>Sheet1!$C$14:$C$25</c:f>
              <c:numCache>
                <c:formatCode>"$"#,##0</c:formatCode>
                <c:ptCount val="12"/>
                <c:pt idx="0">
                  <c:v>4562.015198068837</c:v>
                </c:pt>
                <c:pt idx="1">
                  <c:v>4513.6172529233172</c:v>
                </c:pt>
                <c:pt idx="2">
                  <c:v>5296.221018023848</c:v>
                </c:pt>
                <c:pt idx="3">
                  <c:v>5092.6331849581984</c:v>
                </c:pt>
                <c:pt idx="4">
                  <c:v>5044.2352398126786</c:v>
                </c:pt>
                <c:pt idx="5">
                  <c:v>5826.8390049132095</c:v>
                </c:pt>
                <c:pt idx="6">
                  <c:v>5623.2511718475598</c:v>
                </c:pt>
                <c:pt idx="7">
                  <c:v>5574.85322670204</c:v>
                </c:pt>
                <c:pt idx="8">
                  <c:v>6357.45699180257</c:v>
                </c:pt>
                <c:pt idx="9">
                  <c:v>6153.8691587369203</c:v>
                </c:pt>
                <c:pt idx="10">
                  <c:v>6105.4712135914015</c:v>
                </c:pt>
                <c:pt idx="11">
                  <c:v>6888.0749786919314</c:v>
                </c:pt>
              </c:numCache>
            </c:numRef>
          </c:val>
          <c:smooth val="0"/>
          <c:extLst>
            <c:ext xmlns:c16="http://schemas.microsoft.com/office/drawing/2014/chart" uri="{C3380CC4-5D6E-409C-BE32-E72D297353CC}">
              <c16:uniqueId val="{00000000-7931-4D5B-889D-3BAF57CD744D}"/>
            </c:ext>
          </c:extLst>
        </c:ser>
        <c:ser>
          <c:idx val="1"/>
          <c:order val="1"/>
          <c:spPr>
            <a:ln w="22225" cap="rnd">
              <a:solidFill>
                <a:schemeClr val="accent2"/>
              </a:solidFill>
            </a:ln>
            <a:effectLst>
              <a:glow rad="139700">
                <a:schemeClr val="accent2">
                  <a:satMod val="175000"/>
                  <a:alpha val="14000"/>
                </a:schemeClr>
              </a:glow>
            </a:effectLst>
          </c:spPr>
          <c:marker>
            <c:symbol val="none"/>
          </c:marker>
          <c:cat>
            <c:numRef>
              <c:f>Sheet1!$A$14:$A$25</c:f>
              <c:numCache>
                <c:formatCode>m/d/yyyy</c:formatCode>
                <c:ptCount val="12"/>
                <c:pt idx="0">
                  <c:v>44927</c:v>
                </c:pt>
                <c:pt idx="1">
                  <c:v>44958</c:v>
                </c:pt>
                <c:pt idx="2">
                  <c:v>44986</c:v>
                </c:pt>
                <c:pt idx="3">
                  <c:v>45017</c:v>
                </c:pt>
                <c:pt idx="4">
                  <c:v>45047</c:v>
                </c:pt>
                <c:pt idx="5">
                  <c:v>45078</c:v>
                </c:pt>
                <c:pt idx="6">
                  <c:v>45108</c:v>
                </c:pt>
                <c:pt idx="7">
                  <c:v>45139</c:v>
                </c:pt>
                <c:pt idx="8">
                  <c:v>45170</c:v>
                </c:pt>
                <c:pt idx="9">
                  <c:v>45200</c:v>
                </c:pt>
                <c:pt idx="10">
                  <c:v>45231</c:v>
                </c:pt>
                <c:pt idx="11">
                  <c:v>45261</c:v>
                </c:pt>
              </c:numCache>
            </c:numRef>
          </c:cat>
          <c:val>
            <c:numRef>
              <c:f>Sheet1!$F$14:$F$25</c:f>
              <c:numCache>
                <c:formatCode>"$"#,##0</c:formatCode>
                <c:ptCount val="12"/>
                <c:pt idx="0">
                  <c:v>5586.5448033393759</c:v>
                </c:pt>
                <c:pt idx="1">
                  <c:v>5586.5448033393759</c:v>
                </c:pt>
                <c:pt idx="2">
                  <c:v>5586.5448033393759</c:v>
                </c:pt>
                <c:pt idx="3">
                  <c:v>5586.5448033393759</c:v>
                </c:pt>
                <c:pt idx="4">
                  <c:v>5586.5448033393759</c:v>
                </c:pt>
                <c:pt idx="5">
                  <c:v>5586.5448033393759</c:v>
                </c:pt>
                <c:pt idx="6">
                  <c:v>5586.5448033393759</c:v>
                </c:pt>
                <c:pt idx="7">
                  <c:v>5586.5448033393759</c:v>
                </c:pt>
                <c:pt idx="8">
                  <c:v>5586.5448033393759</c:v>
                </c:pt>
                <c:pt idx="9">
                  <c:v>5586.5448033393759</c:v>
                </c:pt>
                <c:pt idx="10">
                  <c:v>5586.5448033393759</c:v>
                </c:pt>
                <c:pt idx="11">
                  <c:v>5586.5448033393759</c:v>
                </c:pt>
              </c:numCache>
            </c:numRef>
          </c:val>
          <c:smooth val="0"/>
          <c:extLst>
            <c:ext xmlns:c16="http://schemas.microsoft.com/office/drawing/2014/chart" uri="{C3380CC4-5D6E-409C-BE32-E72D297353CC}">
              <c16:uniqueId val="{00000007-7931-4D5B-889D-3BAF57CD744D}"/>
            </c:ext>
          </c:extLst>
        </c:ser>
        <c:dLbls>
          <c:showLegendKey val="0"/>
          <c:showVal val="0"/>
          <c:showCatName val="0"/>
          <c:showSerName val="0"/>
          <c:showPercent val="0"/>
          <c:showBubbleSize val="0"/>
        </c:dLbls>
        <c:smooth val="0"/>
        <c:axId val="845690584"/>
        <c:axId val="845687960"/>
      </c:lineChart>
      <c:dateAx>
        <c:axId val="845690584"/>
        <c:scaling>
          <c:orientation val="minMax"/>
        </c:scaling>
        <c:delete val="0"/>
        <c:axPos val="b"/>
        <c:numFmt formatCode="m/d/yyyy"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845687960"/>
        <c:crosses val="autoZero"/>
        <c:auto val="1"/>
        <c:lblOffset val="100"/>
        <c:baseTimeUnit val="months"/>
      </c:dateAx>
      <c:valAx>
        <c:axId val="845687960"/>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8456905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Calculations!$C$11</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A7BC-40EF-AB88-F458371545F5}"/>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A7BC-40EF-AB88-F458371545F5}"/>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A7BC-40EF-AB88-F458371545F5}"/>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A7BC-40EF-AB88-F458371545F5}"/>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A7BC-40EF-AB88-F458371545F5}"/>
              </c:ext>
            </c:extLst>
          </c:dPt>
          <c:dPt>
            <c:idx val="5"/>
            <c:bubble3D val="0"/>
            <c:spPr>
              <a:solidFill>
                <a:schemeClr val="accent6"/>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B-A7BC-40EF-AB88-F458371545F5}"/>
              </c:ext>
            </c:extLst>
          </c:dPt>
          <c:dPt>
            <c:idx val="6"/>
            <c:bubble3D val="0"/>
            <c:spPr>
              <a:solidFill>
                <a:schemeClr val="accent1">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D-A7BC-40EF-AB88-F458371545F5}"/>
              </c:ext>
            </c:extLst>
          </c:dPt>
          <c:dPt>
            <c:idx val="7"/>
            <c:bubble3D val="0"/>
            <c:spPr>
              <a:solidFill>
                <a:schemeClr val="accent2">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F-A7BC-40EF-AB88-F458371545F5}"/>
              </c:ext>
            </c:extLst>
          </c:dPt>
          <c:dPt>
            <c:idx val="8"/>
            <c:bubble3D val="0"/>
            <c:spPr>
              <a:solidFill>
                <a:schemeClr val="accent3">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1-A7BC-40EF-AB88-F458371545F5}"/>
              </c:ext>
            </c:extLst>
          </c:dPt>
          <c:dPt>
            <c:idx val="9"/>
            <c:bubble3D val="0"/>
            <c:spPr>
              <a:solidFill>
                <a:schemeClr val="accent4">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3-A7BC-40EF-AB88-F458371545F5}"/>
              </c:ext>
            </c:extLst>
          </c:dPt>
          <c:dPt>
            <c:idx val="10"/>
            <c:bubble3D val="0"/>
            <c:spPr>
              <a:solidFill>
                <a:schemeClr val="accent5">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5-A7BC-40EF-AB88-F458371545F5}"/>
              </c:ext>
            </c:extLst>
          </c:dPt>
          <c:dPt>
            <c:idx val="11"/>
            <c:bubble3D val="0"/>
            <c:spPr>
              <a:solidFill>
                <a:schemeClr val="accent6">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7-A7BC-40EF-AB88-F458371545F5}"/>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Calculations!$B$12:$B$23</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Calculations!$C$12:$C$23</c:f>
              <c:numCache>
                <c:formatCode>"$"#,##0</c:formatCode>
                <c:ptCount val="12"/>
                <c:pt idx="0">
                  <c:v>1000</c:v>
                </c:pt>
                <c:pt idx="1">
                  <c:v>1500</c:v>
                </c:pt>
                <c:pt idx="2">
                  <c:v>2200</c:v>
                </c:pt>
                <c:pt idx="3">
                  <c:v>3500</c:v>
                </c:pt>
                <c:pt idx="4">
                  <c:v>2700</c:v>
                </c:pt>
                <c:pt idx="5">
                  <c:v>3600</c:v>
                </c:pt>
                <c:pt idx="6">
                  <c:v>3300</c:v>
                </c:pt>
                <c:pt idx="7">
                  <c:v>2800</c:v>
                </c:pt>
                <c:pt idx="8">
                  <c:v>1500</c:v>
                </c:pt>
                <c:pt idx="9">
                  <c:v>2100</c:v>
                </c:pt>
                <c:pt idx="10">
                  <c:v>3700</c:v>
                </c:pt>
                <c:pt idx="11">
                  <c:v>5000</c:v>
                </c:pt>
              </c:numCache>
            </c:numRef>
          </c:val>
          <c:extLst>
            <c:ext xmlns:c16="http://schemas.microsoft.com/office/drawing/2014/chart" uri="{C3380CC4-5D6E-409C-BE32-E72D297353CC}">
              <c16:uniqueId val="{00000008-97D7-4274-9C7C-57DCEBD5B3C2}"/>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D397-47D5-B4E3-A068569FD3E0}"/>
              </c:ext>
            </c:extLst>
          </c:dPt>
          <c:dPt>
            <c:idx val="1"/>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D397-47D5-B4E3-A068569FD3E0}"/>
              </c:ext>
            </c:extLst>
          </c:dPt>
          <c:dPt>
            <c:idx val="2"/>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D397-47D5-B4E3-A068569FD3E0}"/>
              </c:ext>
            </c:extLst>
          </c:dPt>
          <c:dPt>
            <c:idx val="3"/>
            <c:bubble3D val="0"/>
            <c:spPr>
              <a:solidFill>
                <a:schemeClr val="accent1">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D397-47D5-B4E3-A068569FD3E0}"/>
              </c:ext>
            </c:extLst>
          </c:dPt>
          <c:dPt>
            <c:idx val="4"/>
            <c:bubble3D val="0"/>
            <c:spPr>
              <a:solidFill>
                <a:schemeClr val="accent3">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D397-47D5-B4E3-A068569FD3E0}"/>
              </c:ext>
            </c:extLst>
          </c:dPt>
          <c:dPt>
            <c:idx val="5"/>
            <c:bubble3D val="0"/>
            <c:spPr>
              <a:solidFill>
                <a:schemeClr val="accent5">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B-D397-47D5-B4E3-A068569FD3E0}"/>
              </c:ext>
            </c:extLst>
          </c:dPt>
          <c:dPt>
            <c:idx val="6"/>
            <c:bubble3D val="0"/>
            <c:spPr>
              <a:solidFill>
                <a:schemeClr val="accent1">
                  <a:lumMod val="80000"/>
                  <a:lumOff val="2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D-D397-47D5-B4E3-A068569FD3E0}"/>
              </c:ext>
            </c:extLst>
          </c:dPt>
          <c:dPt>
            <c:idx val="7"/>
            <c:bubble3D val="0"/>
            <c:spPr>
              <a:solidFill>
                <a:schemeClr val="accent3">
                  <a:lumMod val="80000"/>
                  <a:lumOff val="2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F-D397-47D5-B4E3-A068569FD3E0}"/>
              </c:ext>
            </c:extLst>
          </c:dPt>
          <c:dPt>
            <c:idx val="8"/>
            <c:bubble3D val="0"/>
            <c:spPr>
              <a:solidFill>
                <a:schemeClr val="accent5">
                  <a:lumMod val="80000"/>
                  <a:lumOff val="2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1-D397-47D5-B4E3-A068569FD3E0}"/>
              </c:ext>
            </c:extLst>
          </c:dPt>
          <c:dPt>
            <c:idx val="9"/>
            <c:bubble3D val="0"/>
            <c:spPr>
              <a:solidFill>
                <a:schemeClr val="accent1">
                  <a:lumMod val="8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3-D397-47D5-B4E3-A068569FD3E0}"/>
              </c:ext>
            </c:extLst>
          </c:dPt>
          <c:dPt>
            <c:idx val="10"/>
            <c:bubble3D val="0"/>
            <c:spPr>
              <a:solidFill>
                <a:schemeClr val="accent3">
                  <a:lumMod val="8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5-D397-47D5-B4E3-A068569FD3E0}"/>
              </c:ext>
            </c:extLst>
          </c:dPt>
          <c:dPt>
            <c:idx val="11"/>
            <c:bubble3D val="0"/>
            <c:spPr>
              <a:solidFill>
                <a:schemeClr val="accent5">
                  <a:lumMod val="8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7-D397-47D5-B4E3-A068569FD3E0}"/>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Calculations!$B$31:$B$42</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Calculations!$C$31:$C$42</c:f>
              <c:numCache>
                <c:formatCode>"$"#,##0</c:formatCode>
                <c:ptCount val="12"/>
                <c:pt idx="0">
                  <c:v>1400</c:v>
                </c:pt>
                <c:pt idx="1">
                  <c:v>2600</c:v>
                </c:pt>
                <c:pt idx="2">
                  <c:v>1200</c:v>
                </c:pt>
                <c:pt idx="3">
                  <c:v>1050</c:v>
                </c:pt>
                <c:pt idx="4">
                  <c:v>750</c:v>
                </c:pt>
                <c:pt idx="5">
                  <c:v>700</c:v>
                </c:pt>
                <c:pt idx="6">
                  <c:v>1000</c:v>
                </c:pt>
                <c:pt idx="7">
                  <c:v>1200</c:v>
                </c:pt>
                <c:pt idx="8">
                  <c:v>1350</c:v>
                </c:pt>
                <c:pt idx="9">
                  <c:v>1000</c:v>
                </c:pt>
                <c:pt idx="10">
                  <c:v>1000</c:v>
                </c:pt>
                <c:pt idx="11">
                  <c:v>1000</c:v>
                </c:pt>
              </c:numCache>
            </c:numRef>
          </c:val>
          <c:extLst>
            <c:ext xmlns:c16="http://schemas.microsoft.com/office/drawing/2014/chart" uri="{C3380CC4-5D6E-409C-BE32-E72D297353CC}">
              <c16:uniqueId val="{00000018-D397-47D5-B4E3-A068569FD3E0}"/>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SG"/>
              <a:t>Monthly Expenses Trend</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lineChart>
        <c:grouping val="standard"/>
        <c:varyColors val="0"/>
        <c:ser>
          <c:idx val="0"/>
          <c:order val="0"/>
          <c:spPr>
            <a:ln w="22225" cap="rnd">
              <a:solidFill>
                <a:schemeClr val="accent1"/>
              </a:solidFill>
            </a:ln>
            <a:effectLst>
              <a:glow rad="139700">
                <a:schemeClr val="accent1">
                  <a:satMod val="175000"/>
                  <a:alpha val="14000"/>
                </a:schemeClr>
              </a:glo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Calculations!$B$51:$B$62</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Calculations!$C$51:$C$62</c:f>
              <c:numCache>
                <c:formatCode>"$"#,##0</c:formatCode>
                <c:ptCount val="12"/>
                <c:pt idx="0">
                  <c:v>400</c:v>
                </c:pt>
                <c:pt idx="1">
                  <c:v>600</c:v>
                </c:pt>
                <c:pt idx="2">
                  <c:v>700</c:v>
                </c:pt>
                <c:pt idx="3">
                  <c:v>650</c:v>
                </c:pt>
                <c:pt idx="4">
                  <c:v>250</c:v>
                </c:pt>
                <c:pt idx="5">
                  <c:v>350</c:v>
                </c:pt>
                <c:pt idx="6">
                  <c:v>500</c:v>
                </c:pt>
                <c:pt idx="7">
                  <c:v>600</c:v>
                </c:pt>
                <c:pt idx="8">
                  <c:v>550</c:v>
                </c:pt>
                <c:pt idx="9">
                  <c:v>500</c:v>
                </c:pt>
                <c:pt idx="10">
                  <c:v>400</c:v>
                </c:pt>
                <c:pt idx="11">
                  <c:v>500</c:v>
                </c:pt>
              </c:numCache>
            </c:numRef>
          </c:val>
          <c:smooth val="0"/>
          <c:extLst>
            <c:ext xmlns:c16="http://schemas.microsoft.com/office/drawing/2014/chart" uri="{C3380CC4-5D6E-409C-BE32-E72D297353CC}">
              <c16:uniqueId val="{00000000-04CC-41E9-9216-028F3E739EE6}"/>
            </c:ext>
          </c:extLst>
        </c:ser>
        <c:dLbls>
          <c:dLblPos val="ctr"/>
          <c:showLegendKey val="0"/>
          <c:showVal val="1"/>
          <c:showCatName val="0"/>
          <c:showSerName val="0"/>
          <c:showPercent val="0"/>
          <c:showBubbleSize val="0"/>
        </c:dLbls>
        <c:smooth val="0"/>
        <c:axId val="803454344"/>
        <c:axId val="803454672"/>
      </c:lineChart>
      <c:catAx>
        <c:axId val="803454344"/>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803454672"/>
        <c:crosses val="autoZero"/>
        <c:auto val="1"/>
        <c:lblAlgn val="ctr"/>
        <c:lblOffset val="100"/>
        <c:noMultiLvlLbl val="0"/>
      </c:catAx>
      <c:valAx>
        <c:axId val="803454672"/>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8034543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SG"/>
              <a:t>Monthly Loans Trend</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lineChart>
        <c:grouping val="standard"/>
        <c:varyColors val="0"/>
        <c:ser>
          <c:idx val="0"/>
          <c:order val="0"/>
          <c:spPr>
            <a:ln w="22225" cap="rnd">
              <a:solidFill>
                <a:schemeClr val="accent1"/>
              </a:solidFill>
            </a:ln>
            <a:effectLst>
              <a:glow rad="139700">
                <a:schemeClr val="accent1">
                  <a:satMod val="175000"/>
                  <a:alpha val="14000"/>
                </a:schemeClr>
              </a:glo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Calculations!$B$71:$B$82</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Calculations!$C$71:$C$82</c:f>
              <c:numCache>
                <c:formatCode>"$"#,##0</c:formatCode>
                <c:ptCount val="12"/>
                <c:pt idx="0">
                  <c:v>1000</c:v>
                </c:pt>
                <c:pt idx="1">
                  <c:v>2000</c:v>
                </c:pt>
                <c:pt idx="2">
                  <c:v>500</c:v>
                </c:pt>
                <c:pt idx="3">
                  <c:v>400</c:v>
                </c:pt>
                <c:pt idx="4">
                  <c:v>500</c:v>
                </c:pt>
                <c:pt idx="5">
                  <c:v>350</c:v>
                </c:pt>
                <c:pt idx="6">
                  <c:v>500</c:v>
                </c:pt>
                <c:pt idx="7">
                  <c:v>600</c:v>
                </c:pt>
                <c:pt idx="8">
                  <c:v>800</c:v>
                </c:pt>
                <c:pt idx="9">
                  <c:v>500</c:v>
                </c:pt>
                <c:pt idx="10">
                  <c:v>600</c:v>
                </c:pt>
                <c:pt idx="11">
                  <c:v>500</c:v>
                </c:pt>
              </c:numCache>
            </c:numRef>
          </c:val>
          <c:smooth val="0"/>
          <c:extLst>
            <c:ext xmlns:c16="http://schemas.microsoft.com/office/drawing/2014/chart" uri="{C3380CC4-5D6E-409C-BE32-E72D297353CC}">
              <c16:uniqueId val="{00000000-4B49-4C6A-BC5E-D6FB598AE925}"/>
            </c:ext>
          </c:extLst>
        </c:ser>
        <c:dLbls>
          <c:dLblPos val="ctr"/>
          <c:showLegendKey val="0"/>
          <c:showVal val="1"/>
          <c:showCatName val="0"/>
          <c:showSerName val="0"/>
          <c:showPercent val="0"/>
          <c:showBubbleSize val="0"/>
        </c:dLbls>
        <c:smooth val="0"/>
        <c:axId val="651667848"/>
        <c:axId val="651669160"/>
      </c:lineChart>
      <c:catAx>
        <c:axId val="651667848"/>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651669160"/>
        <c:crosses val="autoZero"/>
        <c:auto val="1"/>
        <c:lblAlgn val="ctr"/>
        <c:lblOffset val="100"/>
        <c:noMultiLvlLbl val="0"/>
      </c:catAx>
      <c:valAx>
        <c:axId val="651669160"/>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6516678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SG"/>
              <a:t>Monthly Liablities Trend</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lineChart>
        <c:grouping val="standard"/>
        <c:varyColors val="0"/>
        <c:ser>
          <c:idx val="0"/>
          <c:order val="0"/>
          <c:spPr>
            <a:ln w="22225" cap="rnd">
              <a:solidFill>
                <a:schemeClr val="accent1"/>
              </a:solidFill>
            </a:ln>
            <a:effectLst>
              <a:glow rad="139700">
                <a:schemeClr val="accent1">
                  <a:satMod val="175000"/>
                  <a:alpha val="14000"/>
                </a:schemeClr>
              </a:glo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Calculations!$B$31:$B$42</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Calculations!$C$31:$C$42</c:f>
              <c:numCache>
                <c:formatCode>"$"#,##0</c:formatCode>
                <c:ptCount val="12"/>
                <c:pt idx="0">
                  <c:v>1400</c:v>
                </c:pt>
                <c:pt idx="1">
                  <c:v>2600</c:v>
                </c:pt>
                <c:pt idx="2">
                  <c:v>1200</c:v>
                </c:pt>
                <c:pt idx="3">
                  <c:v>1050</c:v>
                </c:pt>
                <c:pt idx="4">
                  <c:v>750</c:v>
                </c:pt>
                <c:pt idx="5">
                  <c:v>700</c:v>
                </c:pt>
                <c:pt idx="6">
                  <c:v>1000</c:v>
                </c:pt>
                <c:pt idx="7">
                  <c:v>1200</c:v>
                </c:pt>
                <c:pt idx="8">
                  <c:v>1350</c:v>
                </c:pt>
                <c:pt idx="9">
                  <c:v>1000</c:v>
                </c:pt>
                <c:pt idx="10">
                  <c:v>1000</c:v>
                </c:pt>
                <c:pt idx="11">
                  <c:v>1000</c:v>
                </c:pt>
              </c:numCache>
            </c:numRef>
          </c:val>
          <c:smooth val="0"/>
          <c:extLst>
            <c:ext xmlns:c16="http://schemas.microsoft.com/office/drawing/2014/chart" uri="{C3380CC4-5D6E-409C-BE32-E72D297353CC}">
              <c16:uniqueId val="{00000000-F871-4D52-963C-B72BCF32FAB2}"/>
            </c:ext>
          </c:extLst>
        </c:ser>
        <c:dLbls>
          <c:dLblPos val="ctr"/>
          <c:showLegendKey val="0"/>
          <c:showVal val="1"/>
          <c:showCatName val="0"/>
          <c:showSerName val="0"/>
          <c:showPercent val="0"/>
          <c:showBubbleSize val="0"/>
        </c:dLbls>
        <c:smooth val="0"/>
        <c:axId val="588114248"/>
        <c:axId val="588114576"/>
      </c:lineChart>
      <c:catAx>
        <c:axId val="588114248"/>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88114576"/>
        <c:crosses val="autoZero"/>
        <c:auto val="1"/>
        <c:lblAlgn val="ctr"/>
        <c:lblOffset val="100"/>
        <c:noMultiLvlLbl val="0"/>
      </c:catAx>
      <c:valAx>
        <c:axId val="588114576"/>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881142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SG"/>
              <a:t>Monthly Assets Trend</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lineChart>
        <c:grouping val="standard"/>
        <c:varyColors val="0"/>
        <c:ser>
          <c:idx val="0"/>
          <c:order val="0"/>
          <c:spPr>
            <a:ln w="22225" cap="rnd">
              <a:solidFill>
                <a:schemeClr val="accent1"/>
              </a:solidFill>
            </a:ln>
            <a:effectLst>
              <a:glow rad="139700">
                <a:schemeClr val="accent1">
                  <a:satMod val="175000"/>
                  <a:alpha val="14000"/>
                </a:schemeClr>
              </a:glo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Calculations!$B$12:$B$23</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Calculations!$C$12:$C$23</c:f>
              <c:numCache>
                <c:formatCode>"$"#,##0</c:formatCode>
                <c:ptCount val="12"/>
                <c:pt idx="0">
                  <c:v>1000</c:v>
                </c:pt>
                <c:pt idx="1">
                  <c:v>1500</c:v>
                </c:pt>
                <c:pt idx="2">
                  <c:v>2200</c:v>
                </c:pt>
                <c:pt idx="3">
                  <c:v>3500</c:v>
                </c:pt>
                <c:pt idx="4">
                  <c:v>2700</c:v>
                </c:pt>
                <c:pt idx="5">
                  <c:v>3600</c:v>
                </c:pt>
                <c:pt idx="6">
                  <c:v>3300</c:v>
                </c:pt>
                <c:pt idx="7">
                  <c:v>2800</c:v>
                </c:pt>
                <c:pt idx="8">
                  <c:v>1500</c:v>
                </c:pt>
                <c:pt idx="9">
                  <c:v>2100</c:v>
                </c:pt>
                <c:pt idx="10">
                  <c:v>3700</c:v>
                </c:pt>
                <c:pt idx="11">
                  <c:v>5000</c:v>
                </c:pt>
              </c:numCache>
            </c:numRef>
          </c:val>
          <c:smooth val="0"/>
          <c:extLst>
            <c:ext xmlns:c16="http://schemas.microsoft.com/office/drawing/2014/chart" uri="{C3380CC4-5D6E-409C-BE32-E72D297353CC}">
              <c16:uniqueId val="{00000000-5215-4542-81A8-4CFC258ACAFC}"/>
            </c:ext>
          </c:extLst>
        </c:ser>
        <c:dLbls>
          <c:dLblPos val="ctr"/>
          <c:showLegendKey val="0"/>
          <c:showVal val="1"/>
          <c:showCatName val="0"/>
          <c:showSerName val="0"/>
          <c:showPercent val="0"/>
          <c:showBubbleSize val="0"/>
        </c:dLbls>
        <c:smooth val="0"/>
        <c:axId val="636555528"/>
        <c:axId val="636549952"/>
      </c:lineChart>
      <c:catAx>
        <c:axId val="636555528"/>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636549952"/>
        <c:crosses val="autoZero"/>
        <c:auto val="1"/>
        <c:lblAlgn val="ctr"/>
        <c:lblOffset val="100"/>
        <c:noMultiLvlLbl val="0"/>
      </c:catAx>
      <c:valAx>
        <c:axId val="636549952"/>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6365555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0224918651730051"/>
          <c:y val="0.12913148146261794"/>
          <c:w val="0.46529678663984037"/>
          <c:h val="0.76325527226302403"/>
        </c:manualLayout>
      </c:layout>
      <c:doughnutChart>
        <c:varyColors val="1"/>
        <c:ser>
          <c:idx val="0"/>
          <c:order val="0"/>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EAA2-44CE-AB97-4024F3AF2E0F}"/>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EAA2-44CE-AB97-4024F3AF2E0F}"/>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EAA2-44CE-AB97-4024F3AF2E0F}"/>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EAA2-44CE-AB97-4024F3AF2E0F}"/>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EAA2-44CE-AB97-4024F3AF2E0F}"/>
              </c:ext>
            </c:extLst>
          </c:dPt>
          <c:dPt>
            <c:idx val="5"/>
            <c:bubble3D val="0"/>
            <c:spPr>
              <a:solidFill>
                <a:schemeClr val="accent6"/>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B-EAA2-44CE-AB97-4024F3AF2E0F}"/>
              </c:ext>
            </c:extLst>
          </c:dPt>
          <c:dPt>
            <c:idx val="6"/>
            <c:bubble3D val="0"/>
            <c:spPr>
              <a:solidFill>
                <a:schemeClr val="accent1">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D-EAA2-44CE-AB97-4024F3AF2E0F}"/>
              </c:ext>
            </c:extLst>
          </c:dPt>
          <c:dPt>
            <c:idx val="7"/>
            <c:bubble3D val="0"/>
            <c:spPr>
              <a:solidFill>
                <a:schemeClr val="accent2">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F-EAA2-44CE-AB97-4024F3AF2E0F}"/>
              </c:ext>
            </c:extLst>
          </c:dPt>
          <c:dPt>
            <c:idx val="8"/>
            <c:bubble3D val="0"/>
            <c:spPr>
              <a:solidFill>
                <a:schemeClr val="accent3">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1-EAA2-44CE-AB97-4024F3AF2E0F}"/>
              </c:ext>
            </c:extLst>
          </c:dPt>
          <c:dPt>
            <c:idx val="9"/>
            <c:bubble3D val="0"/>
            <c:spPr>
              <a:solidFill>
                <a:schemeClr val="accent4">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3-EAA2-44CE-AB97-4024F3AF2E0F}"/>
              </c:ext>
            </c:extLst>
          </c:dPt>
          <c:dPt>
            <c:idx val="10"/>
            <c:bubble3D val="0"/>
            <c:spPr>
              <a:solidFill>
                <a:schemeClr val="accent5">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5-EAA2-44CE-AB97-4024F3AF2E0F}"/>
              </c:ext>
            </c:extLst>
          </c:dPt>
          <c:dPt>
            <c:idx val="11"/>
            <c:bubble3D val="0"/>
            <c:spPr>
              <a:solidFill>
                <a:schemeClr val="accent6">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7-EAA2-44CE-AB97-4024F3AF2E0F}"/>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Calculations!$B$71:$B$82</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Calculations!$C$71:$C$82</c:f>
              <c:numCache>
                <c:formatCode>"$"#,##0</c:formatCode>
                <c:ptCount val="12"/>
                <c:pt idx="0">
                  <c:v>1000</c:v>
                </c:pt>
                <c:pt idx="1">
                  <c:v>2000</c:v>
                </c:pt>
                <c:pt idx="2">
                  <c:v>500</c:v>
                </c:pt>
                <c:pt idx="3">
                  <c:v>400</c:v>
                </c:pt>
                <c:pt idx="4">
                  <c:v>500</c:v>
                </c:pt>
                <c:pt idx="5">
                  <c:v>350</c:v>
                </c:pt>
                <c:pt idx="6">
                  <c:v>500</c:v>
                </c:pt>
                <c:pt idx="7">
                  <c:v>600</c:v>
                </c:pt>
                <c:pt idx="8">
                  <c:v>800</c:v>
                </c:pt>
                <c:pt idx="9">
                  <c:v>500</c:v>
                </c:pt>
                <c:pt idx="10">
                  <c:v>600</c:v>
                </c:pt>
                <c:pt idx="11">
                  <c:v>500</c:v>
                </c:pt>
              </c:numCache>
            </c:numRef>
          </c:val>
          <c:extLst>
            <c:ext xmlns:c16="http://schemas.microsoft.com/office/drawing/2014/chart" uri="{C3380CC4-5D6E-409C-BE32-E72D297353CC}">
              <c16:uniqueId val="{00000000-6CC4-4AD8-AF90-F3FAC7018AF7}"/>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lumMod val="20000"/>
        <a:lumOff val="8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BD0B-4C4E-BFDC-B80356D6B07E}"/>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BD0B-4C4E-BFDC-B80356D6B07E}"/>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BD0B-4C4E-BFDC-B80356D6B07E}"/>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BD0B-4C4E-BFDC-B80356D6B07E}"/>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BD0B-4C4E-BFDC-B80356D6B07E}"/>
              </c:ext>
            </c:extLst>
          </c:dPt>
          <c:dPt>
            <c:idx val="5"/>
            <c:bubble3D val="0"/>
            <c:spPr>
              <a:solidFill>
                <a:schemeClr val="accent6"/>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B-BD0B-4C4E-BFDC-B80356D6B07E}"/>
              </c:ext>
            </c:extLst>
          </c:dPt>
          <c:dPt>
            <c:idx val="6"/>
            <c:bubble3D val="0"/>
            <c:spPr>
              <a:solidFill>
                <a:schemeClr val="accent1">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D-BD0B-4C4E-BFDC-B80356D6B07E}"/>
              </c:ext>
            </c:extLst>
          </c:dPt>
          <c:dPt>
            <c:idx val="7"/>
            <c:bubble3D val="0"/>
            <c:spPr>
              <a:solidFill>
                <a:schemeClr val="accent2">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F-BD0B-4C4E-BFDC-B80356D6B07E}"/>
              </c:ext>
            </c:extLst>
          </c:dPt>
          <c:dPt>
            <c:idx val="8"/>
            <c:bubble3D val="0"/>
            <c:spPr>
              <a:solidFill>
                <a:schemeClr val="accent3">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1-BD0B-4C4E-BFDC-B80356D6B07E}"/>
              </c:ext>
            </c:extLst>
          </c:dPt>
          <c:dPt>
            <c:idx val="9"/>
            <c:bubble3D val="0"/>
            <c:spPr>
              <a:solidFill>
                <a:schemeClr val="accent4">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3-BD0B-4C4E-BFDC-B80356D6B07E}"/>
              </c:ext>
            </c:extLst>
          </c:dPt>
          <c:dPt>
            <c:idx val="10"/>
            <c:bubble3D val="0"/>
            <c:spPr>
              <a:solidFill>
                <a:schemeClr val="accent5">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5-BD0B-4C4E-BFDC-B80356D6B07E}"/>
              </c:ext>
            </c:extLst>
          </c:dPt>
          <c:dPt>
            <c:idx val="11"/>
            <c:bubble3D val="0"/>
            <c:spPr>
              <a:solidFill>
                <a:schemeClr val="accent6">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7-BD0B-4C4E-BFDC-B80356D6B07E}"/>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Calculations!$B$51:$B$62</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Calculations!$C$51:$C$62</c:f>
              <c:numCache>
                <c:formatCode>"$"#,##0</c:formatCode>
                <c:ptCount val="12"/>
                <c:pt idx="0">
                  <c:v>400</c:v>
                </c:pt>
                <c:pt idx="1">
                  <c:v>600</c:v>
                </c:pt>
                <c:pt idx="2">
                  <c:v>700</c:v>
                </c:pt>
                <c:pt idx="3">
                  <c:v>650</c:v>
                </c:pt>
                <c:pt idx="4">
                  <c:v>250</c:v>
                </c:pt>
                <c:pt idx="5">
                  <c:v>350</c:v>
                </c:pt>
                <c:pt idx="6">
                  <c:v>500</c:v>
                </c:pt>
                <c:pt idx="7">
                  <c:v>600</c:v>
                </c:pt>
                <c:pt idx="8">
                  <c:v>550</c:v>
                </c:pt>
                <c:pt idx="9">
                  <c:v>500</c:v>
                </c:pt>
                <c:pt idx="10">
                  <c:v>400</c:v>
                </c:pt>
                <c:pt idx="11">
                  <c:v>500</c:v>
                </c:pt>
              </c:numCache>
            </c:numRef>
          </c:val>
          <c:extLst>
            <c:ext xmlns:c16="http://schemas.microsoft.com/office/drawing/2014/chart" uri="{C3380CC4-5D6E-409C-BE32-E72D297353CC}">
              <c16:uniqueId val="{00000000-8BE0-4150-94B8-9C8AED9C137A}"/>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SG" sz="1800" b="1" i="0" baseline="0">
                <a:effectLst/>
              </a:rPr>
              <a:t>Monthly Net Worth</a:t>
            </a:r>
            <a:endParaRPr lang="en-SG">
              <a:effectLst/>
            </a:endParaRP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lineChart>
        <c:grouping val="standard"/>
        <c:varyColors val="0"/>
        <c:ser>
          <c:idx val="0"/>
          <c:order val="0"/>
          <c:tx>
            <c:v>Average</c:v>
          </c:tx>
          <c:spPr>
            <a:ln w="22225" cap="rnd">
              <a:solidFill>
                <a:schemeClr val="accent1"/>
              </a:solidFill>
            </a:ln>
            <a:effectLst>
              <a:glow rad="139700">
                <a:schemeClr val="accent1">
                  <a:satMod val="175000"/>
                  <a:alpha val="14000"/>
                </a:schemeClr>
              </a:glow>
            </a:effectLst>
          </c:spPr>
          <c:marker>
            <c:symbol val="none"/>
          </c:marker>
          <c:cat>
            <c:strRef>
              <c:f>Calculations!$B$91:$B$102</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Calculations!$A$91:$A$102</c:f>
              <c:numCache>
                <c:formatCode>"$"#,##0</c:formatCode>
                <c:ptCount val="12"/>
                <c:pt idx="0">
                  <c:v>1662.5</c:v>
                </c:pt>
                <c:pt idx="1">
                  <c:v>1662.5</c:v>
                </c:pt>
                <c:pt idx="2">
                  <c:v>1662.5</c:v>
                </c:pt>
                <c:pt idx="3">
                  <c:v>1662.5</c:v>
                </c:pt>
                <c:pt idx="4">
                  <c:v>1662.5</c:v>
                </c:pt>
                <c:pt idx="5">
                  <c:v>1662.5</c:v>
                </c:pt>
                <c:pt idx="6">
                  <c:v>1662.5</c:v>
                </c:pt>
                <c:pt idx="7">
                  <c:v>1662.5</c:v>
                </c:pt>
                <c:pt idx="8">
                  <c:v>1662.5</c:v>
                </c:pt>
                <c:pt idx="9">
                  <c:v>1662.5</c:v>
                </c:pt>
                <c:pt idx="10">
                  <c:v>1662.5</c:v>
                </c:pt>
                <c:pt idx="11">
                  <c:v>1662.5</c:v>
                </c:pt>
              </c:numCache>
            </c:numRef>
          </c:val>
          <c:smooth val="0"/>
          <c:extLst>
            <c:ext xmlns:c16="http://schemas.microsoft.com/office/drawing/2014/chart" uri="{C3380CC4-5D6E-409C-BE32-E72D297353CC}">
              <c16:uniqueId val="{00000000-16E1-4C60-ADF2-4EAA2F43E759}"/>
            </c:ext>
          </c:extLst>
        </c:ser>
        <c:ser>
          <c:idx val="2"/>
          <c:order val="1"/>
          <c:tx>
            <c:v>Net Worth</c:v>
          </c:tx>
          <c:spPr>
            <a:ln w="22225" cap="rnd">
              <a:solidFill>
                <a:schemeClr val="accent3"/>
              </a:solidFill>
            </a:ln>
            <a:effectLst>
              <a:glow rad="139700">
                <a:schemeClr val="accent3">
                  <a:satMod val="175000"/>
                  <a:alpha val="14000"/>
                </a:schemeClr>
              </a:glow>
            </a:effectLst>
          </c:spPr>
          <c:marker>
            <c:symbol val="none"/>
          </c:marker>
          <c:cat>
            <c:strRef>
              <c:f>Calculations!$B$91:$B$102</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Calculations!$C$91:$C$102</c:f>
              <c:numCache>
                <c:formatCode>"$"#,##0</c:formatCode>
                <c:ptCount val="12"/>
                <c:pt idx="0">
                  <c:v>900</c:v>
                </c:pt>
                <c:pt idx="1">
                  <c:v>-1100</c:v>
                </c:pt>
                <c:pt idx="2">
                  <c:v>1000</c:v>
                </c:pt>
                <c:pt idx="3">
                  <c:v>2450</c:v>
                </c:pt>
                <c:pt idx="4">
                  <c:v>1950</c:v>
                </c:pt>
                <c:pt idx="5">
                  <c:v>2900</c:v>
                </c:pt>
                <c:pt idx="6">
                  <c:v>2300</c:v>
                </c:pt>
                <c:pt idx="7">
                  <c:v>1600</c:v>
                </c:pt>
                <c:pt idx="8">
                  <c:v>150</c:v>
                </c:pt>
                <c:pt idx="9">
                  <c:v>1100</c:v>
                </c:pt>
                <c:pt idx="10">
                  <c:v>2700</c:v>
                </c:pt>
                <c:pt idx="11">
                  <c:v>4000</c:v>
                </c:pt>
              </c:numCache>
            </c:numRef>
          </c:val>
          <c:smooth val="0"/>
          <c:extLst>
            <c:ext xmlns:c16="http://schemas.microsoft.com/office/drawing/2014/chart" uri="{C3380CC4-5D6E-409C-BE32-E72D297353CC}">
              <c16:uniqueId val="{00000002-16E1-4C60-ADF2-4EAA2F43E759}"/>
            </c:ext>
          </c:extLst>
        </c:ser>
        <c:dLbls>
          <c:showLegendKey val="0"/>
          <c:showVal val="0"/>
          <c:showCatName val="0"/>
          <c:showSerName val="0"/>
          <c:showPercent val="0"/>
          <c:showBubbleSize val="0"/>
        </c:dLbls>
        <c:smooth val="0"/>
        <c:axId val="183184752"/>
        <c:axId val="183174768"/>
      </c:lineChart>
      <c:catAx>
        <c:axId val="183184752"/>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83174768"/>
        <c:crosses val="autoZero"/>
        <c:auto val="1"/>
        <c:lblAlgn val="ctr"/>
        <c:lblOffset val="100"/>
        <c:noMultiLvlLbl val="0"/>
      </c:catAx>
      <c:valAx>
        <c:axId val="183174768"/>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8318475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SG">
                <a:solidFill>
                  <a:schemeClr val="accent1">
                    <a:lumMod val="60000"/>
                    <a:lumOff val="40000"/>
                  </a:schemeClr>
                </a:solidFill>
              </a:rPr>
              <a:t>PREDICTION</a:t>
            </a:r>
            <a:r>
              <a:rPr lang="en-SG" baseline="0"/>
              <a:t> VS </a:t>
            </a:r>
            <a:r>
              <a:rPr lang="en-SG" baseline="0">
                <a:solidFill>
                  <a:schemeClr val="accent2">
                    <a:lumMod val="40000"/>
                    <a:lumOff val="60000"/>
                  </a:schemeClr>
                </a:solidFill>
              </a:rPr>
              <a:t>AVERAGE</a:t>
            </a:r>
            <a:endParaRPr lang="en-SG">
              <a:solidFill>
                <a:schemeClr val="accent2">
                  <a:lumMod val="40000"/>
                  <a:lumOff val="60000"/>
                </a:schemeClr>
              </a:solidFill>
            </a:endParaRP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lineChart>
        <c:grouping val="standard"/>
        <c:varyColors val="0"/>
        <c:ser>
          <c:idx val="0"/>
          <c:order val="0"/>
          <c:spPr>
            <a:ln w="22225" cap="rnd">
              <a:solidFill>
                <a:schemeClr val="accent1"/>
              </a:solidFill>
            </a:ln>
            <a:effectLst>
              <a:glow rad="139700">
                <a:schemeClr val="accent1">
                  <a:satMod val="175000"/>
                  <a:alpha val="14000"/>
                </a:schemeClr>
              </a:glow>
            </a:effectLst>
          </c:spPr>
          <c:marker>
            <c:symbol val="none"/>
          </c:marker>
          <c:cat>
            <c:numRef>
              <c:f>Sheet1!$A$14:$A$25</c:f>
              <c:numCache>
                <c:formatCode>m/d/yyyy</c:formatCode>
                <c:ptCount val="12"/>
                <c:pt idx="0">
                  <c:v>44927</c:v>
                </c:pt>
                <c:pt idx="1">
                  <c:v>44958</c:v>
                </c:pt>
                <c:pt idx="2">
                  <c:v>44986</c:v>
                </c:pt>
                <c:pt idx="3">
                  <c:v>45017</c:v>
                </c:pt>
                <c:pt idx="4">
                  <c:v>45047</c:v>
                </c:pt>
                <c:pt idx="5">
                  <c:v>45078</c:v>
                </c:pt>
                <c:pt idx="6">
                  <c:v>45108</c:v>
                </c:pt>
                <c:pt idx="7">
                  <c:v>45139</c:v>
                </c:pt>
                <c:pt idx="8">
                  <c:v>45170</c:v>
                </c:pt>
                <c:pt idx="9">
                  <c:v>45200</c:v>
                </c:pt>
                <c:pt idx="10">
                  <c:v>45231</c:v>
                </c:pt>
                <c:pt idx="11">
                  <c:v>45261</c:v>
                </c:pt>
              </c:numCache>
            </c:numRef>
          </c:cat>
          <c:val>
            <c:numRef>
              <c:f>Sheet1!$C$14:$C$25</c:f>
              <c:numCache>
                <c:formatCode>"$"#,##0</c:formatCode>
                <c:ptCount val="12"/>
                <c:pt idx="0">
                  <c:v>4562.015198068837</c:v>
                </c:pt>
                <c:pt idx="1">
                  <c:v>4513.6172529233172</c:v>
                </c:pt>
                <c:pt idx="2">
                  <c:v>5296.221018023848</c:v>
                </c:pt>
                <c:pt idx="3">
                  <c:v>5092.6331849581984</c:v>
                </c:pt>
                <c:pt idx="4">
                  <c:v>5044.2352398126786</c:v>
                </c:pt>
                <c:pt idx="5">
                  <c:v>5826.8390049132095</c:v>
                </c:pt>
                <c:pt idx="6">
                  <c:v>5623.2511718475598</c:v>
                </c:pt>
                <c:pt idx="7">
                  <c:v>5574.85322670204</c:v>
                </c:pt>
                <c:pt idx="8">
                  <c:v>6357.45699180257</c:v>
                </c:pt>
                <c:pt idx="9">
                  <c:v>6153.8691587369203</c:v>
                </c:pt>
                <c:pt idx="10">
                  <c:v>6105.4712135914015</c:v>
                </c:pt>
                <c:pt idx="11">
                  <c:v>6888.0749786919314</c:v>
                </c:pt>
              </c:numCache>
            </c:numRef>
          </c:val>
          <c:smooth val="0"/>
          <c:extLst>
            <c:ext xmlns:c16="http://schemas.microsoft.com/office/drawing/2014/chart" uri="{C3380CC4-5D6E-409C-BE32-E72D297353CC}">
              <c16:uniqueId val="{00000000-4904-4D0D-803C-8DB0088E05D1}"/>
            </c:ext>
          </c:extLst>
        </c:ser>
        <c:ser>
          <c:idx val="1"/>
          <c:order val="1"/>
          <c:spPr>
            <a:ln w="22225" cap="rnd">
              <a:solidFill>
                <a:schemeClr val="accent2"/>
              </a:solidFill>
            </a:ln>
            <a:effectLst>
              <a:glow rad="139700">
                <a:schemeClr val="accent2">
                  <a:satMod val="175000"/>
                  <a:alpha val="14000"/>
                </a:schemeClr>
              </a:glow>
            </a:effectLst>
          </c:spPr>
          <c:marker>
            <c:symbol val="none"/>
          </c:marker>
          <c:cat>
            <c:numRef>
              <c:f>Sheet1!$A$14:$A$25</c:f>
              <c:numCache>
                <c:formatCode>m/d/yyyy</c:formatCode>
                <c:ptCount val="12"/>
                <c:pt idx="0">
                  <c:v>44927</c:v>
                </c:pt>
                <c:pt idx="1">
                  <c:v>44958</c:v>
                </c:pt>
                <c:pt idx="2">
                  <c:v>44986</c:v>
                </c:pt>
                <c:pt idx="3">
                  <c:v>45017</c:v>
                </c:pt>
                <c:pt idx="4">
                  <c:v>45047</c:v>
                </c:pt>
                <c:pt idx="5">
                  <c:v>45078</c:v>
                </c:pt>
                <c:pt idx="6">
                  <c:v>45108</c:v>
                </c:pt>
                <c:pt idx="7">
                  <c:v>45139</c:v>
                </c:pt>
                <c:pt idx="8">
                  <c:v>45170</c:v>
                </c:pt>
                <c:pt idx="9">
                  <c:v>45200</c:v>
                </c:pt>
                <c:pt idx="10">
                  <c:v>45231</c:v>
                </c:pt>
                <c:pt idx="11">
                  <c:v>45261</c:v>
                </c:pt>
              </c:numCache>
            </c:numRef>
          </c:cat>
          <c:val>
            <c:numRef>
              <c:f>Sheet1!$F$14:$F$25</c:f>
              <c:numCache>
                <c:formatCode>"$"#,##0</c:formatCode>
                <c:ptCount val="12"/>
                <c:pt idx="0">
                  <c:v>5586.5448033393759</c:v>
                </c:pt>
                <c:pt idx="1">
                  <c:v>5586.5448033393759</c:v>
                </c:pt>
                <c:pt idx="2">
                  <c:v>5586.5448033393759</c:v>
                </c:pt>
                <c:pt idx="3">
                  <c:v>5586.5448033393759</c:v>
                </c:pt>
                <c:pt idx="4">
                  <c:v>5586.5448033393759</c:v>
                </c:pt>
                <c:pt idx="5">
                  <c:v>5586.5448033393759</c:v>
                </c:pt>
                <c:pt idx="6">
                  <c:v>5586.5448033393759</c:v>
                </c:pt>
                <c:pt idx="7">
                  <c:v>5586.5448033393759</c:v>
                </c:pt>
                <c:pt idx="8">
                  <c:v>5586.5448033393759</c:v>
                </c:pt>
                <c:pt idx="9">
                  <c:v>5586.5448033393759</c:v>
                </c:pt>
                <c:pt idx="10">
                  <c:v>5586.5448033393759</c:v>
                </c:pt>
                <c:pt idx="11">
                  <c:v>5586.5448033393759</c:v>
                </c:pt>
              </c:numCache>
            </c:numRef>
          </c:val>
          <c:smooth val="0"/>
          <c:extLst>
            <c:ext xmlns:c16="http://schemas.microsoft.com/office/drawing/2014/chart" uri="{C3380CC4-5D6E-409C-BE32-E72D297353CC}">
              <c16:uniqueId val="{00000001-4904-4D0D-803C-8DB0088E05D1}"/>
            </c:ext>
          </c:extLst>
        </c:ser>
        <c:dLbls>
          <c:showLegendKey val="0"/>
          <c:showVal val="0"/>
          <c:showCatName val="0"/>
          <c:showSerName val="0"/>
          <c:showPercent val="0"/>
          <c:showBubbleSize val="0"/>
        </c:dLbls>
        <c:smooth val="0"/>
        <c:axId val="845690584"/>
        <c:axId val="845687960"/>
      </c:lineChart>
      <c:dateAx>
        <c:axId val="845690584"/>
        <c:scaling>
          <c:orientation val="minMax"/>
        </c:scaling>
        <c:delete val="0"/>
        <c:axPos val="b"/>
        <c:numFmt formatCode="m/d/yyyy"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845687960"/>
        <c:crosses val="autoZero"/>
        <c:auto val="1"/>
        <c:lblOffset val="100"/>
        <c:baseTimeUnit val="months"/>
      </c:dateAx>
      <c:valAx>
        <c:axId val="845687960"/>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8456905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4.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1.png"/><Relationship Id="rId3" Type="http://schemas.openxmlformats.org/officeDocument/2006/relationships/hyperlink" Target="#Liabilities!A1"/><Relationship Id="rId7" Type="http://schemas.openxmlformats.org/officeDocument/2006/relationships/hyperlink" Target="#Forecasts!A1"/><Relationship Id="rId2" Type="http://schemas.openxmlformats.org/officeDocument/2006/relationships/hyperlink" Target="#Investments!A1"/><Relationship Id="rId1" Type="http://schemas.openxmlformats.org/officeDocument/2006/relationships/hyperlink" Target="#Assets!A1"/><Relationship Id="rId6" Type="http://schemas.openxmlformats.org/officeDocument/2006/relationships/hyperlink" Target="#Ledger!A1"/><Relationship Id="rId5" Type="http://schemas.openxmlformats.org/officeDocument/2006/relationships/hyperlink" Target="#CPF!A1"/><Relationship Id="rId10" Type="http://schemas.openxmlformats.org/officeDocument/2006/relationships/image" Target="../media/image3.png"/><Relationship Id="rId4" Type="http://schemas.openxmlformats.org/officeDocument/2006/relationships/hyperlink" Target="#Calculations!A1"/><Relationship Id="rId9" Type="http://schemas.openxmlformats.org/officeDocument/2006/relationships/image" Target="../media/image2.png"/></Relationships>
</file>

<file path=xl/drawings/_rels/drawing2.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hyperlink" Target="#Dashboard!A1"/></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hyperlink" Target="#Dashboard!A1"/></Relationships>
</file>

<file path=xl/drawings/_rels/drawing4.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hyperlink" Target="#Dashboard!A1"/></Relationships>
</file>

<file path=xl/drawings/_rels/drawing5.xml.rels><?xml version="1.0" encoding="UTF-8" standalone="yes"?>
<Relationships xmlns="http://schemas.openxmlformats.org/package/2006/relationships"><Relationship Id="rId1" Type="http://schemas.openxmlformats.org/officeDocument/2006/relationships/hyperlink" Target="#Dashboard!A1"/></Relationships>
</file>

<file path=xl/drawings/_rels/drawing6.xml.rels><?xml version="1.0" encoding="UTF-8" standalone="yes"?>
<Relationships xmlns="http://schemas.openxmlformats.org/package/2006/relationships"><Relationship Id="rId1" Type="http://schemas.openxmlformats.org/officeDocument/2006/relationships/hyperlink" Target="#Dashboard!A1"/></Relationships>
</file>

<file path=xl/drawings/_rels/drawing7.xml.rels><?xml version="1.0" encoding="UTF-8" standalone="yes"?>
<Relationships xmlns="http://schemas.openxmlformats.org/package/2006/relationships"><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8" Type="http://schemas.openxmlformats.org/officeDocument/2006/relationships/chart" Target="../charts/chart11.xml"/><Relationship Id="rId13" Type="http://schemas.openxmlformats.org/officeDocument/2006/relationships/hyperlink" Target="#Calculations!A105"/><Relationship Id="rId3" Type="http://schemas.openxmlformats.org/officeDocument/2006/relationships/chart" Target="../charts/chart6.xml"/><Relationship Id="rId7" Type="http://schemas.openxmlformats.org/officeDocument/2006/relationships/chart" Target="../charts/chart10.xml"/><Relationship Id="rId12" Type="http://schemas.openxmlformats.org/officeDocument/2006/relationships/hyperlink" Target="#Calculations!A85"/><Relationship Id="rId2" Type="http://schemas.openxmlformats.org/officeDocument/2006/relationships/hyperlink" Target="#Dashboard!A1"/><Relationship Id="rId16" Type="http://schemas.openxmlformats.org/officeDocument/2006/relationships/chart" Target="../charts/chart13.xml"/><Relationship Id="rId1" Type="http://schemas.openxmlformats.org/officeDocument/2006/relationships/chart" Target="../charts/chart5.xml"/><Relationship Id="rId6" Type="http://schemas.openxmlformats.org/officeDocument/2006/relationships/chart" Target="../charts/chart9.xml"/><Relationship Id="rId11" Type="http://schemas.openxmlformats.org/officeDocument/2006/relationships/hyperlink" Target="#Calculations!A65"/><Relationship Id="rId5" Type="http://schemas.openxmlformats.org/officeDocument/2006/relationships/chart" Target="../charts/chart8.xml"/><Relationship Id="rId15" Type="http://schemas.openxmlformats.org/officeDocument/2006/relationships/hyperlink" Target="#Calculations!A1"/><Relationship Id="rId10" Type="http://schemas.openxmlformats.org/officeDocument/2006/relationships/hyperlink" Target="#Calculations!A45"/><Relationship Id="rId4" Type="http://schemas.openxmlformats.org/officeDocument/2006/relationships/chart" Target="../charts/chart7.xml"/><Relationship Id="rId9" Type="http://schemas.openxmlformats.org/officeDocument/2006/relationships/chart" Target="../charts/chart12.xml"/><Relationship Id="rId14" Type="http://schemas.openxmlformats.org/officeDocument/2006/relationships/hyperlink" Target="#Calculations!A25"/></Relationships>
</file>

<file path=xl/drawings/_rels/drawing9.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hyperlink" Target="#Dashboard!A1"/></Relationships>
</file>

<file path=xl/drawings/drawing1.xml><?xml version="1.0" encoding="utf-8"?>
<xdr:wsDr xmlns:xdr="http://schemas.openxmlformats.org/drawingml/2006/spreadsheetDrawing" xmlns:a="http://schemas.openxmlformats.org/drawingml/2006/main">
  <xdr:twoCellAnchor>
    <xdr:from>
      <xdr:col>0</xdr:col>
      <xdr:colOff>558800</xdr:colOff>
      <xdr:row>14</xdr:row>
      <xdr:rowOff>58420</xdr:rowOff>
    </xdr:from>
    <xdr:to>
      <xdr:col>16</xdr:col>
      <xdr:colOff>504190</xdr:colOff>
      <xdr:row>33</xdr:row>
      <xdr:rowOff>38100</xdr:rowOff>
    </xdr:to>
    <xdr:sp macro="" textlink="">
      <xdr:nvSpPr>
        <xdr:cNvPr id="26" name="TextBox 25">
          <a:extLst>
            <a:ext uri="{FF2B5EF4-FFF2-40B4-BE49-F238E27FC236}">
              <a16:creationId xmlns:a16="http://schemas.microsoft.com/office/drawing/2014/main" id="{86352528-7300-4189-904F-66B071BB57CE}"/>
            </a:ext>
          </a:extLst>
        </xdr:cNvPr>
        <xdr:cNvSpPr txBox="1"/>
      </xdr:nvSpPr>
      <xdr:spPr>
        <a:xfrm>
          <a:off x="558800" y="2618740"/>
          <a:ext cx="10118090" cy="3454400"/>
        </a:xfrm>
        <a:prstGeom prst="roundRect">
          <a:avLst>
            <a:gd name="adj" fmla="val 4281"/>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SG" sz="1600" b="1">
              <a:solidFill>
                <a:sysClr val="windowText" lastClr="000000"/>
              </a:solidFill>
            </a:rPr>
            <a:t>About Us</a:t>
          </a:r>
        </a:p>
      </xdr:txBody>
    </xdr:sp>
    <xdr:clientData/>
  </xdr:twoCellAnchor>
  <xdr:twoCellAnchor>
    <xdr:from>
      <xdr:col>1</xdr:col>
      <xdr:colOff>0</xdr:colOff>
      <xdr:row>4</xdr:row>
      <xdr:rowOff>86394</xdr:rowOff>
    </xdr:from>
    <xdr:to>
      <xdr:col>12</xdr:col>
      <xdr:colOff>237852</xdr:colOff>
      <xdr:row>6</xdr:row>
      <xdr:rowOff>2244</xdr:rowOff>
    </xdr:to>
    <xdr:grpSp>
      <xdr:nvGrpSpPr>
        <xdr:cNvPr id="2" name="Group 30">
          <a:extLst>
            <a:ext uri="{FF2B5EF4-FFF2-40B4-BE49-F238E27FC236}">
              <a16:creationId xmlns:a16="http://schemas.microsoft.com/office/drawing/2014/main" id="{C20DA4C6-3FBE-4F53-B831-950393D60FB8}"/>
            </a:ext>
          </a:extLst>
        </xdr:cNvPr>
        <xdr:cNvGrpSpPr/>
      </xdr:nvGrpSpPr>
      <xdr:grpSpPr>
        <a:xfrm>
          <a:off x="561975" y="810294"/>
          <a:ext cx="7162527" cy="277800"/>
          <a:chOff x="594360" y="817914"/>
          <a:chExt cx="7370172" cy="281610"/>
        </a:xfrm>
      </xdr:grpSpPr>
      <xdr:sp macro="" textlink="">
        <xdr:nvSpPr>
          <xdr:cNvPr id="3" name="Rectangle: Rounded Corners 2">
            <a:hlinkClick xmlns:r="http://schemas.openxmlformats.org/officeDocument/2006/relationships" r:id="rId1"/>
            <a:extLst>
              <a:ext uri="{FF2B5EF4-FFF2-40B4-BE49-F238E27FC236}">
                <a16:creationId xmlns:a16="http://schemas.microsoft.com/office/drawing/2014/main" id="{00000000-0008-0000-0000-000003000000}"/>
              </a:ext>
            </a:extLst>
          </xdr:cNvPr>
          <xdr:cNvSpPr/>
        </xdr:nvSpPr>
        <xdr:spPr>
          <a:xfrm>
            <a:off x="594360" y="828074"/>
            <a:ext cx="968785" cy="270476"/>
          </a:xfrm>
          <a:prstGeom prst="roundRect">
            <a:avLst/>
          </a:prstGeom>
          <a:solidFill>
            <a:srgbClr val="FFCC99"/>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1200" b="1">
                <a:solidFill>
                  <a:sysClr val="windowText" lastClr="000000"/>
                </a:solidFill>
              </a:rPr>
              <a:t>Assets</a:t>
            </a:r>
          </a:p>
        </xdr:txBody>
      </xdr:sp>
      <xdr:sp macro="" textlink="">
        <xdr:nvSpPr>
          <xdr:cNvPr id="8" name="Rectangle: Rounded Corners 3">
            <a:hlinkClick xmlns:r="http://schemas.openxmlformats.org/officeDocument/2006/relationships" r:id="rId2"/>
            <a:extLst>
              <a:ext uri="{FF2B5EF4-FFF2-40B4-BE49-F238E27FC236}">
                <a16:creationId xmlns:a16="http://schemas.microsoft.com/office/drawing/2014/main" id="{00000000-0008-0000-0000-000004000000}"/>
              </a:ext>
            </a:extLst>
          </xdr:cNvPr>
          <xdr:cNvSpPr/>
        </xdr:nvSpPr>
        <xdr:spPr>
          <a:xfrm>
            <a:off x="2745325" y="828823"/>
            <a:ext cx="972892" cy="269206"/>
          </a:xfrm>
          <a:prstGeom prst="roundRect">
            <a:avLst/>
          </a:prstGeom>
          <a:solidFill>
            <a:schemeClr val="accent5">
              <a:lumMod val="50000"/>
            </a:schemeClr>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1200" b="1"/>
              <a:t>Investments</a:t>
            </a:r>
          </a:p>
        </xdr:txBody>
      </xdr:sp>
      <xdr:sp macro="" textlink="">
        <xdr:nvSpPr>
          <xdr:cNvPr id="11" name="Rectangle: Rounded Corners 4">
            <a:hlinkClick xmlns:r="http://schemas.openxmlformats.org/officeDocument/2006/relationships" r:id="rId3"/>
            <a:extLst>
              <a:ext uri="{FF2B5EF4-FFF2-40B4-BE49-F238E27FC236}">
                <a16:creationId xmlns:a16="http://schemas.microsoft.com/office/drawing/2014/main" id="{00000000-0008-0000-0000-000005000000}"/>
              </a:ext>
            </a:extLst>
          </xdr:cNvPr>
          <xdr:cNvSpPr/>
        </xdr:nvSpPr>
        <xdr:spPr>
          <a:xfrm>
            <a:off x="1670834" y="827553"/>
            <a:ext cx="964785" cy="271971"/>
          </a:xfrm>
          <a:prstGeom prst="roundRect">
            <a:avLst/>
          </a:prstGeom>
          <a:solidFill>
            <a:srgbClr val="FAA8F2"/>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1200" b="1">
                <a:solidFill>
                  <a:sysClr val="windowText" lastClr="000000"/>
                </a:solidFill>
              </a:rPr>
              <a:t>Liabilities</a:t>
            </a:r>
          </a:p>
        </xdr:txBody>
      </xdr:sp>
      <xdr:sp macro="" textlink="">
        <xdr:nvSpPr>
          <xdr:cNvPr id="12" name="Rectangle: Rounded Corners 5">
            <a:hlinkClick xmlns:r="http://schemas.openxmlformats.org/officeDocument/2006/relationships" r:id="rId4"/>
            <a:extLst>
              <a:ext uri="{FF2B5EF4-FFF2-40B4-BE49-F238E27FC236}">
                <a16:creationId xmlns:a16="http://schemas.microsoft.com/office/drawing/2014/main" id="{00000000-0008-0000-0000-000006000000}"/>
              </a:ext>
            </a:extLst>
          </xdr:cNvPr>
          <xdr:cNvSpPr/>
        </xdr:nvSpPr>
        <xdr:spPr>
          <a:xfrm>
            <a:off x="5956826" y="822994"/>
            <a:ext cx="969531" cy="261934"/>
          </a:xfrm>
          <a:prstGeom prst="roundRect">
            <a:avLst/>
          </a:prstGeom>
          <a:solidFill>
            <a:srgbClr val="8AE6C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1200" b="1">
                <a:solidFill>
                  <a:sysClr val="windowText" lastClr="000000"/>
                </a:solidFill>
              </a:rPr>
              <a:t>Calculations</a:t>
            </a:r>
          </a:p>
        </xdr:txBody>
      </xdr:sp>
      <xdr:sp macro="" textlink="">
        <xdr:nvSpPr>
          <xdr:cNvPr id="13" name="Rectangle: Rounded Corners 6">
            <a:hlinkClick xmlns:r="http://schemas.openxmlformats.org/officeDocument/2006/relationships" r:id="rId5"/>
            <a:extLst>
              <a:ext uri="{FF2B5EF4-FFF2-40B4-BE49-F238E27FC236}">
                <a16:creationId xmlns:a16="http://schemas.microsoft.com/office/drawing/2014/main" id="{00000000-0008-0000-0000-000007000000}"/>
              </a:ext>
            </a:extLst>
          </xdr:cNvPr>
          <xdr:cNvSpPr/>
        </xdr:nvSpPr>
        <xdr:spPr>
          <a:xfrm>
            <a:off x="4898825" y="820420"/>
            <a:ext cx="973303" cy="267464"/>
          </a:xfrm>
          <a:prstGeom prst="roundRect">
            <a:avLst/>
          </a:prstGeom>
          <a:solidFill>
            <a:schemeClr val="accent3">
              <a:lumMod val="40000"/>
              <a:lumOff val="60000"/>
            </a:schemeClr>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1200" b="1">
                <a:solidFill>
                  <a:sysClr val="windowText" lastClr="000000"/>
                </a:solidFill>
              </a:rPr>
              <a:t>CPF</a:t>
            </a:r>
          </a:p>
        </xdr:txBody>
      </xdr:sp>
      <xdr:sp macro="" textlink="">
        <xdr:nvSpPr>
          <xdr:cNvPr id="14" name="Rectangle: Rounded Corners 8">
            <a:hlinkClick xmlns:r="http://schemas.openxmlformats.org/officeDocument/2006/relationships" r:id="rId6"/>
            <a:extLst>
              <a:ext uri="{FF2B5EF4-FFF2-40B4-BE49-F238E27FC236}">
                <a16:creationId xmlns:a16="http://schemas.microsoft.com/office/drawing/2014/main" id="{4B9C1FA6-623F-49DE-AD7C-276835985F0F}"/>
              </a:ext>
            </a:extLst>
          </xdr:cNvPr>
          <xdr:cNvSpPr/>
        </xdr:nvSpPr>
        <xdr:spPr>
          <a:xfrm>
            <a:off x="3794345" y="825013"/>
            <a:ext cx="999905" cy="266666"/>
          </a:xfrm>
          <a:prstGeom prst="roundRect">
            <a:avLst/>
          </a:prstGeom>
          <a:solidFill>
            <a:schemeClr val="accent5">
              <a:lumMod val="40000"/>
              <a:lumOff val="60000"/>
            </a:schemeClr>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1200" b="1">
                <a:solidFill>
                  <a:sysClr val="windowText" lastClr="000000"/>
                </a:solidFill>
              </a:rPr>
              <a:t>Ledger</a:t>
            </a:r>
          </a:p>
        </xdr:txBody>
      </xdr:sp>
      <xdr:sp macro="" textlink="">
        <xdr:nvSpPr>
          <xdr:cNvPr id="15" name="Rectangle: Rounded Corners 9">
            <a:hlinkClick xmlns:r="http://schemas.openxmlformats.org/officeDocument/2006/relationships" r:id="rId7"/>
            <a:extLst>
              <a:ext uri="{FF2B5EF4-FFF2-40B4-BE49-F238E27FC236}">
                <a16:creationId xmlns:a16="http://schemas.microsoft.com/office/drawing/2014/main" id="{BB09163B-68F8-4615-8BCA-950BEDB3C355}"/>
              </a:ext>
            </a:extLst>
          </xdr:cNvPr>
          <xdr:cNvSpPr/>
        </xdr:nvSpPr>
        <xdr:spPr>
          <a:xfrm>
            <a:off x="7005846" y="817914"/>
            <a:ext cx="958686" cy="267014"/>
          </a:xfrm>
          <a:prstGeom prst="roundRect">
            <a:avLst/>
          </a:prstGeom>
          <a:solidFill>
            <a:srgbClr val="FAD3E9"/>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1200" b="1">
                <a:solidFill>
                  <a:sysClr val="windowText" lastClr="000000"/>
                </a:solidFill>
              </a:rPr>
              <a:t>Forecasts</a:t>
            </a:r>
          </a:p>
        </xdr:txBody>
      </xdr:sp>
    </xdr:grpSp>
    <xdr:clientData/>
  </xdr:twoCellAnchor>
  <xdr:twoCellAnchor>
    <xdr:from>
      <xdr:col>0</xdr:col>
      <xdr:colOff>557530</xdr:colOff>
      <xdr:row>7</xdr:row>
      <xdr:rowOff>62230</xdr:rowOff>
    </xdr:from>
    <xdr:to>
      <xdr:col>16</xdr:col>
      <xdr:colOff>518160</xdr:colOff>
      <xdr:row>12</xdr:row>
      <xdr:rowOff>176530</xdr:rowOff>
    </xdr:to>
    <xdr:sp macro="" textlink="">
      <xdr:nvSpPr>
        <xdr:cNvPr id="23" name="TextBox 22">
          <a:extLst>
            <a:ext uri="{FF2B5EF4-FFF2-40B4-BE49-F238E27FC236}">
              <a16:creationId xmlns:a16="http://schemas.microsoft.com/office/drawing/2014/main" id="{9387DB7B-8EF3-4B72-ACEE-E4717BE0FD07}"/>
            </a:ext>
          </a:extLst>
        </xdr:cNvPr>
        <xdr:cNvSpPr txBox="1"/>
      </xdr:nvSpPr>
      <xdr:spPr>
        <a:xfrm>
          <a:off x="557530" y="1342390"/>
          <a:ext cx="10133330" cy="1028700"/>
        </a:xfrm>
        <a:prstGeom prst="round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SG" sz="1400" b="1">
              <a:solidFill>
                <a:sysClr val="windowText" lastClr="000000"/>
              </a:solidFill>
            </a:rPr>
            <a:t>Hello! Welcome to Fynancer.</a:t>
          </a:r>
        </a:p>
        <a:p>
          <a:pPr algn="ctr"/>
          <a:r>
            <a:rPr lang="en-SG" sz="1400" b="0">
              <a:solidFill>
                <a:sysClr val="windowText" lastClr="000000"/>
              </a:solidFill>
            </a:rPr>
            <a:t>You</a:t>
          </a:r>
          <a:r>
            <a:rPr lang="en-SG" sz="1400" b="0" baseline="0">
              <a:solidFill>
                <a:sysClr val="windowText" lastClr="000000"/>
              </a:solidFill>
            </a:rPr>
            <a:t> can start tracking your finances by clicking on one of the navigation bars or sheets.</a:t>
          </a:r>
          <a:endParaRPr lang="en-SG" sz="1400" b="0">
            <a:solidFill>
              <a:sysClr val="windowText" lastClr="000000"/>
            </a:solidFill>
          </a:endParaRPr>
        </a:p>
      </xdr:txBody>
    </xdr:sp>
    <xdr:clientData/>
  </xdr:twoCellAnchor>
  <xdr:twoCellAnchor>
    <xdr:from>
      <xdr:col>1</xdr:col>
      <xdr:colOff>177801</xdr:colOff>
      <xdr:row>17</xdr:row>
      <xdr:rowOff>75901</xdr:rowOff>
    </xdr:from>
    <xdr:to>
      <xdr:col>16</xdr:col>
      <xdr:colOff>312679</xdr:colOff>
      <xdr:row>32</xdr:row>
      <xdr:rowOff>24638</xdr:rowOff>
    </xdr:to>
    <xdr:grpSp>
      <xdr:nvGrpSpPr>
        <xdr:cNvPr id="28" name="Group 32">
          <a:extLst>
            <a:ext uri="{FF2B5EF4-FFF2-40B4-BE49-F238E27FC236}">
              <a16:creationId xmlns:a16="http://schemas.microsoft.com/office/drawing/2014/main" id="{E0764754-9126-4AD7-948F-339EE6E5A0D0}"/>
            </a:ext>
          </a:extLst>
        </xdr:cNvPr>
        <xdr:cNvGrpSpPr/>
      </xdr:nvGrpSpPr>
      <xdr:grpSpPr>
        <a:xfrm>
          <a:off x="739776" y="3152476"/>
          <a:ext cx="9374128" cy="2663362"/>
          <a:chOff x="772161" y="3184861"/>
          <a:chExt cx="9713218" cy="2691937"/>
        </a:xfrm>
      </xdr:grpSpPr>
      <xdr:pic>
        <xdr:nvPicPr>
          <xdr:cNvPr id="36" name="Picture 29">
            <a:extLst>
              <a:ext uri="{FF2B5EF4-FFF2-40B4-BE49-F238E27FC236}">
                <a16:creationId xmlns:a16="http://schemas.microsoft.com/office/drawing/2014/main" id="{CE0FEA7A-F9A0-4F34-BB1A-14C8D20C2325}"/>
              </a:ext>
            </a:extLst>
          </xdr:cNvPr>
          <xdr:cNvPicPr>
            <a:picLocks noChangeAspect="1"/>
          </xdr:cNvPicPr>
        </xdr:nvPicPr>
        <xdr:blipFill>
          <a:blip xmlns:r="http://schemas.openxmlformats.org/officeDocument/2006/relationships" r:embed="rId8"/>
          <a:stretch>
            <a:fillRect/>
          </a:stretch>
        </xdr:blipFill>
        <xdr:spPr>
          <a:xfrm>
            <a:off x="772161" y="3184861"/>
            <a:ext cx="4730749" cy="2691937"/>
          </a:xfrm>
          <a:prstGeom prst="roundRect">
            <a:avLst/>
          </a:prstGeom>
        </xdr:spPr>
      </xdr:pic>
      <xdr:pic>
        <xdr:nvPicPr>
          <xdr:cNvPr id="37" name="Picture 28">
            <a:extLst>
              <a:ext uri="{FF2B5EF4-FFF2-40B4-BE49-F238E27FC236}">
                <a16:creationId xmlns:a16="http://schemas.microsoft.com/office/drawing/2014/main" id="{343EF00F-F2EC-4A48-97F7-22FA291D634C}"/>
              </a:ext>
            </a:extLst>
          </xdr:cNvPr>
          <xdr:cNvPicPr>
            <a:picLocks noChangeAspect="1"/>
          </xdr:cNvPicPr>
        </xdr:nvPicPr>
        <xdr:blipFill>
          <a:blip xmlns:r="http://schemas.openxmlformats.org/officeDocument/2006/relationships" r:embed="rId9"/>
          <a:stretch>
            <a:fillRect/>
          </a:stretch>
        </xdr:blipFill>
        <xdr:spPr>
          <a:xfrm>
            <a:off x="5766143" y="3201670"/>
            <a:ext cx="4719236" cy="2653030"/>
          </a:xfrm>
          <a:prstGeom prst="roundRect">
            <a:avLst/>
          </a:prstGeom>
        </xdr:spPr>
      </xdr:pic>
    </xdr:grpSp>
    <xdr:clientData/>
  </xdr:twoCellAnchor>
  <xdr:twoCellAnchor>
    <xdr:from>
      <xdr:col>0</xdr:col>
      <xdr:colOff>553720</xdr:colOff>
      <xdr:row>34</xdr:row>
      <xdr:rowOff>138430</xdr:rowOff>
    </xdr:from>
    <xdr:to>
      <xdr:col>8</xdr:col>
      <xdr:colOff>1409700</xdr:colOff>
      <xdr:row>56</xdr:row>
      <xdr:rowOff>22860</xdr:rowOff>
    </xdr:to>
    <xdr:sp macro="" textlink="">
      <xdr:nvSpPr>
        <xdr:cNvPr id="32" name="TextBox 31">
          <a:extLst>
            <a:ext uri="{FF2B5EF4-FFF2-40B4-BE49-F238E27FC236}">
              <a16:creationId xmlns:a16="http://schemas.microsoft.com/office/drawing/2014/main" id="{314F3828-57D3-4581-B538-AB5BE10A74EF}"/>
            </a:ext>
          </a:extLst>
        </xdr:cNvPr>
        <xdr:cNvSpPr txBox="1"/>
      </xdr:nvSpPr>
      <xdr:spPr>
        <a:xfrm>
          <a:off x="553720" y="6356350"/>
          <a:ext cx="5077460" cy="3907790"/>
        </a:xfrm>
        <a:prstGeom prst="roundRect">
          <a:avLst>
            <a:gd name="adj" fmla="val 4281"/>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SG" sz="1600" b="1">
              <a:solidFill>
                <a:sysClr val="windowText" lastClr="000000"/>
              </a:solidFill>
            </a:rPr>
            <a:t>This Project was done by:</a:t>
          </a:r>
        </a:p>
      </xdr:txBody>
    </xdr:sp>
    <xdr:clientData/>
  </xdr:twoCellAnchor>
  <xdr:twoCellAnchor>
    <xdr:from>
      <xdr:col>2</xdr:col>
      <xdr:colOff>472736</xdr:colOff>
      <xdr:row>38</xdr:row>
      <xdr:rowOff>17203</xdr:rowOff>
    </xdr:from>
    <xdr:to>
      <xdr:col>8</xdr:col>
      <xdr:colOff>401724</xdr:colOff>
      <xdr:row>53</xdr:row>
      <xdr:rowOff>160018</xdr:rowOff>
    </xdr:to>
    <xdr:grpSp>
      <xdr:nvGrpSpPr>
        <xdr:cNvPr id="6" name="Group 3">
          <a:extLst>
            <a:ext uri="{FF2B5EF4-FFF2-40B4-BE49-F238E27FC236}">
              <a16:creationId xmlns:a16="http://schemas.microsoft.com/office/drawing/2014/main" id="{E575010E-6E9F-45A8-B996-3899F5A97C2A}"/>
            </a:ext>
          </a:extLst>
        </xdr:cNvPr>
        <xdr:cNvGrpSpPr/>
      </xdr:nvGrpSpPr>
      <xdr:grpSpPr>
        <a:xfrm>
          <a:off x="1596686" y="6894253"/>
          <a:ext cx="2805538" cy="2857440"/>
          <a:chOff x="1399807" y="6903124"/>
          <a:chExt cx="2961866" cy="2907780"/>
        </a:xfrm>
      </xdr:grpSpPr>
      <xdr:grpSp>
        <xdr:nvGrpSpPr>
          <xdr:cNvPr id="7" name="Group 37">
            <a:extLst>
              <a:ext uri="{FF2B5EF4-FFF2-40B4-BE49-F238E27FC236}">
                <a16:creationId xmlns:a16="http://schemas.microsoft.com/office/drawing/2014/main" id="{DCE85E0E-49EA-4BD6-B3CA-D1405E5DF84C}"/>
              </a:ext>
            </a:extLst>
          </xdr:cNvPr>
          <xdr:cNvGrpSpPr/>
        </xdr:nvGrpSpPr>
        <xdr:grpSpPr>
          <a:xfrm>
            <a:off x="3415931" y="6903124"/>
            <a:ext cx="945742" cy="1237576"/>
            <a:chOff x="1208614" y="7160934"/>
            <a:chExt cx="1235556" cy="1609686"/>
          </a:xfrm>
        </xdr:grpSpPr>
        <xdr:pic>
          <xdr:nvPicPr>
            <xdr:cNvPr id="9" name="Picture 33">
              <a:extLst>
                <a:ext uri="{FF2B5EF4-FFF2-40B4-BE49-F238E27FC236}">
                  <a16:creationId xmlns:a16="http://schemas.microsoft.com/office/drawing/2014/main" id="{94435CA0-66AE-460B-8A6A-9D8A6DE0C3D5}"/>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rcRect l="1503" r="1503"/>
            <a:stretch/>
          </xdr:blipFill>
          <xdr:spPr>
            <a:xfrm>
              <a:off x="1208614" y="7160934"/>
              <a:ext cx="1235556" cy="1245941"/>
            </a:xfrm>
            <a:prstGeom prst="ellipse">
              <a:avLst/>
            </a:prstGeom>
          </xdr:spPr>
        </xdr:pic>
        <xdr:sp macro="" textlink="">
          <xdr:nvSpPr>
            <xdr:cNvPr id="10" name="TextBox 34">
              <a:extLst>
                <a:ext uri="{FF2B5EF4-FFF2-40B4-BE49-F238E27FC236}">
                  <a16:creationId xmlns:a16="http://schemas.microsoft.com/office/drawing/2014/main" id="{D09E56DD-E0AA-4DCE-A22F-7FA7DD522D8B}"/>
                </a:ext>
              </a:extLst>
            </xdr:cNvPr>
            <xdr:cNvSpPr txBox="1"/>
          </xdr:nvSpPr>
          <xdr:spPr>
            <a:xfrm>
              <a:off x="1247693" y="8473198"/>
              <a:ext cx="1159588" cy="2974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SG" sz="1200" b="1"/>
                <a:t>Alexander</a:t>
              </a:r>
              <a:endParaRPr lang="en-SG" sz="1000" b="1"/>
            </a:p>
          </xdr:txBody>
        </xdr:sp>
      </xdr:grpSp>
      <xdr:grpSp>
        <xdr:nvGrpSpPr>
          <xdr:cNvPr id="16" name="Group 38">
            <a:extLst>
              <a:ext uri="{FF2B5EF4-FFF2-40B4-BE49-F238E27FC236}">
                <a16:creationId xmlns:a16="http://schemas.microsoft.com/office/drawing/2014/main" id="{CA22BF3A-4AF6-4E99-9F1F-E742F7F4257E}"/>
              </a:ext>
            </a:extLst>
          </xdr:cNvPr>
          <xdr:cNvGrpSpPr/>
        </xdr:nvGrpSpPr>
        <xdr:grpSpPr>
          <a:xfrm>
            <a:off x="1399807" y="6905664"/>
            <a:ext cx="956170" cy="1257015"/>
            <a:chOff x="1211846" y="7160934"/>
            <a:chExt cx="1229093" cy="1609686"/>
          </a:xfrm>
        </xdr:grpSpPr>
        <xdr:pic>
          <xdr:nvPicPr>
            <xdr:cNvPr id="17" name="Picture 39">
              <a:extLst>
                <a:ext uri="{FF2B5EF4-FFF2-40B4-BE49-F238E27FC236}">
                  <a16:creationId xmlns:a16="http://schemas.microsoft.com/office/drawing/2014/main" id="{A7435369-692D-4F99-A6EF-4EAB911A6839}"/>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rcRect l="1162" r="1162"/>
            <a:stretch/>
          </xdr:blipFill>
          <xdr:spPr>
            <a:xfrm>
              <a:off x="1211846" y="7160934"/>
              <a:ext cx="1229093" cy="1245941"/>
            </a:xfrm>
            <a:prstGeom prst="ellipse">
              <a:avLst/>
            </a:prstGeom>
          </xdr:spPr>
        </xdr:pic>
        <xdr:sp macro="" textlink="">
          <xdr:nvSpPr>
            <xdr:cNvPr id="18" name="TextBox 40">
              <a:extLst>
                <a:ext uri="{FF2B5EF4-FFF2-40B4-BE49-F238E27FC236}">
                  <a16:creationId xmlns:a16="http://schemas.microsoft.com/office/drawing/2014/main" id="{667F7984-8843-46C3-9E28-8B68750D3945}"/>
                </a:ext>
              </a:extLst>
            </xdr:cNvPr>
            <xdr:cNvSpPr txBox="1"/>
          </xdr:nvSpPr>
          <xdr:spPr>
            <a:xfrm>
              <a:off x="1286474" y="8473198"/>
              <a:ext cx="1055406" cy="2974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SG" sz="1200" b="1"/>
                <a:t>Balqis</a:t>
              </a:r>
              <a:endParaRPr lang="en-SG" sz="1000" b="1"/>
            </a:p>
          </xdr:txBody>
        </xdr:sp>
      </xdr:grpSp>
      <xdr:grpSp>
        <xdr:nvGrpSpPr>
          <xdr:cNvPr id="19" name="Group 41">
            <a:extLst>
              <a:ext uri="{FF2B5EF4-FFF2-40B4-BE49-F238E27FC236}">
                <a16:creationId xmlns:a16="http://schemas.microsoft.com/office/drawing/2014/main" id="{23D94D22-6D03-418B-A846-986DD735D981}"/>
              </a:ext>
            </a:extLst>
          </xdr:cNvPr>
          <xdr:cNvGrpSpPr/>
        </xdr:nvGrpSpPr>
        <xdr:grpSpPr>
          <a:xfrm>
            <a:off x="1404886" y="8538884"/>
            <a:ext cx="932523" cy="1254967"/>
            <a:chOff x="1211846" y="7160934"/>
            <a:chExt cx="1229093" cy="1609686"/>
          </a:xfrm>
        </xdr:grpSpPr>
        <xdr:pic>
          <xdr:nvPicPr>
            <xdr:cNvPr id="20" name="Picture 42">
              <a:extLst>
                <a:ext uri="{FF2B5EF4-FFF2-40B4-BE49-F238E27FC236}">
                  <a16:creationId xmlns:a16="http://schemas.microsoft.com/office/drawing/2014/main" id="{C771F9C8-8500-426B-B141-855E9BE0A153}"/>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rcRect l="562" r="562"/>
            <a:stretch/>
          </xdr:blipFill>
          <xdr:spPr>
            <a:xfrm>
              <a:off x="1211846" y="7160934"/>
              <a:ext cx="1229093" cy="1245941"/>
            </a:xfrm>
            <a:prstGeom prst="ellipse">
              <a:avLst/>
            </a:prstGeom>
          </xdr:spPr>
        </xdr:pic>
        <xdr:sp macro="" textlink="">
          <xdr:nvSpPr>
            <xdr:cNvPr id="21" name="TextBox 43">
              <a:extLst>
                <a:ext uri="{FF2B5EF4-FFF2-40B4-BE49-F238E27FC236}">
                  <a16:creationId xmlns:a16="http://schemas.microsoft.com/office/drawing/2014/main" id="{1C07EBD2-3376-433A-AC5D-EEC9FA6B5B94}"/>
                </a:ext>
              </a:extLst>
            </xdr:cNvPr>
            <xdr:cNvSpPr txBox="1"/>
          </xdr:nvSpPr>
          <xdr:spPr>
            <a:xfrm>
              <a:off x="1286474" y="8473198"/>
              <a:ext cx="1055406" cy="2974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SG" sz="1200" b="1"/>
                <a:t>Lincoln</a:t>
              </a:r>
              <a:endParaRPr lang="en-SG" sz="1000" b="1"/>
            </a:p>
          </xdr:txBody>
        </xdr:sp>
      </xdr:grpSp>
      <xdr:grpSp>
        <xdr:nvGrpSpPr>
          <xdr:cNvPr id="22" name="Group 44">
            <a:extLst>
              <a:ext uri="{FF2B5EF4-FFF2-40B4-BE49-F238E27FC236}">
                <a16:creationId xmlns:a16="http://schemas.microsoft.com/office/drawing/2014/main" id="{316DAB3B-6244-4CE7-BADF-BE1B825C64CF}"/>
              </a:ext>
            </a:extLst>
          </xdr:cNvPr>
          <xdr:cNvGrpSpPr/>
        </xdr:nvGrpSpPr>
        <xdr:grpSpPr>
          <a:xfrm>
            <a:off x="3411486" y="8509673"/>
            <a:ext cx="949915" cy="1301231"/>
            <a:chOff x="1211846" y="7160934"/>
            <a:chExt cx="1229093" cy="1664015"/>
          </a:xfrm>
        </xdr:grpSpPr>
        <xdr:pic>
          <xdr:nvPicPr>
            <xdr:cNvPr id="24" name="Picture 45">
              <a:extLst>
                <a:ext uri="{FF2B5EF4-FFF2-40B4-BE49-F238E27FC236}">
                  <a16:creationId xmlns:a16="http://schemas.microsoft.com/office/drawing/2014/main" id="{133069F8-86F5-43A6-A512-AB90BDE0DB22}"/>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rcRect l="418" r="418"/>
            <a:stretch/>
          </xdr:blipFill>
          <xdr:spPr>
            <a:xfrm>
              <a:off x="1211846" y="7160934"/>
              <a:ext cx="1229093" cy="1245941"/>
            </a:xfrm>
            <a:prstGeom prst="ellipse">
              <a:avLst/>
            </a:prstGeom>
          </xdr:spPr>
        </xdr:pic>
        <xdr:sp macro="" textlink="">
          <xdr:nvSpPr>
            <xdr:cNvPr id="25" name="TextBox 46">
              <a:extLst>
                <a:ext uri="{FF2B5EF4-FFF2-40B4-BE49-F238E27FC236}">
                  <a16:creationId xmlns:a16="http://schemas.microsoft.com/office/drawing/2014/main" id="{F4E798F7-6C8F-4815-AE8B-95BD6C85FF3C}"/>
                </a:ext>
              </a:extLst>
            </xdr:cNvPr>
            <xdr:cNvSpPr txBox="1"/>
          </xdr:nvSpPr>
          <xdr:spPr>
            <a:xfrm>
              <a:off x="1271467" y="8475733"/>
              <a:ext cx="1162559" cy="3492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SG" sz="1200" b="1"/>
                <a:t>Tung Xuan</a:t>
              </a:r>
              <a:endParaRPr lang="en-SG" sz="1000" b="1"/>
            </a:p>
          </xdr:txBody>
        </xdr:sp>
      </xdr:grpSp>
    </xdr:grpSp>
    <xdr:clientData/>
  </xdr:twoCellAnchor>
  <xdr:twoCellAnchor>
    <xdr:from>
      <xdr:col>8</xdr:col>
      <xdr:colOff>1549400</xdr:colOff>
      <xdr:row>34</xdr:row>
      <xdr:rowOff>132080</xdr:rowOff>
    </xdr:from>
    <xdr:to>
      <xdr:col>16</xdr:col>
      <xdr:colOff>495300</xdr:colOff>
      <xdr:row>56</xdr:row>
      <xdr:rowOff>20320</xdr:rowOff>
    </xdr:to>
    <xdr:sp macro="" textlink="">
      <xdr:nvSpPr>
        <xdr:cNvPr id="29" name="TextBox 28">
          <a:extLst>
            <a:ext uri="{FF2B5EF4-FFF2-40B4-BE49-F238E27FC236}">
              <a16:creationId xmlns:a16="http://schemas.microsoft.com/office/drawing/2014/main" id="{89894674-E2E5-423A-9A74-11214F94684E}"/>
            </a:ext>
          </a:extLst>
        </xdr:cNvPr>
        <xdr:cNvSpPr txBox="1"/>
      </xdr:nvSpPr>
      <xdr:spPr>
        <a:xfrm>
          <a:off x="5770880" y="6350000"/>
          <a:ext cx="4897120" cy="3911600"/>
        </a:xfrm>
        <a:prstGeom prst="roundRect">
          <a:avLst>
            <a:gd name="adj" fmla="val 4281"/>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SG" sz="1600" b="1">
              <a:solidFill>
                <a:sysClr val="windowText" lastClr="000000"/>
              </a:solidFill>
            </a:rPr>
            <a:t>References</a:t>
          </a:r>
        </a:p>
        <a:p>
          <a:pPr algn="l"/>
          <a:r>
            <a:rPr lang="en-SG" sz="1200" b="0">
              <a:solidFill>
                <a:sysClr val="windowText" lastClr="000000"/>
              </a:solidFill>
            </a:rPr>
            <a:t>Atlassian User Interface. (n.d.). Avatars [Online image].</a:t>
          </a:r>
        </a:p>
        <a:p>
          <a:pPr lvl="1" algn="l"/>
          <a:r>
            <a:rPr lang="en-SG" sz="1200" b="0">
              <a:solidFill>
                <a:sysClr val="windowText" lastClr="000000"/>
              </a:solidFill>
            </a:rPr>
            <a:t>https://aui.atlassian.com/aui/8.6/docs/avatars.html</a:t>
          </a:r>
        </a:p>
        <a:p>
          <a:pPr lvl="0" algn="l"/>
          <a:endParaRPr lang="en-SG" sz="1200" b="0" baseline="0">
            <a:solidFill>
              <a:sysClr val="windowText" lastClr="000000"/>
            </a:solidFill>
          </a:endParaRPr>
        </a:p>
        <a:p>
          <a:pPr lvl="0" algn="l"/>
          <a:r>
            <a:rPr lang="en-SG" sz="1200" b="0" baseline="0">
              <a:solidFill>
                <a:sysClr val="windowText" lastClr="000000"/>
              </a:solidFill>
            </a:rPr>
            <a:t>To be converted into APA:</a:t>
          </a:r>
        </a:p>
        <a:p>
          <a:pPr lvl="0" algn="l"/>
          <a:r>
            <a:rPr lang="en-SG" sz="1200" b="0" baseline="0">
              <a:solidFill>
                <a:sysClr val="windowText" lastClr="000000"/>
              </a:solidFill>
            </a:rPr>
            <a:t>https://exceloffthegrid.com/vba-code-save-excel-file-as-pdf/#Save_active_sheet_as_PDF</a:t>
          </a:r>
        </a:p>
        <a:p>
          <a:pPr lvl="0" algn="l"/>
          <a:endParaRPr lang="en-SG" sz="1200" b="0" baseline="0">
            <a:solidFill>
              <a:sysClr val="windowText" lastClr="000000"/>
            </a:solidFill>
          </a:endParaRPr>
        </a:p>
        <a:p>
          <a:pPr lvl="0" algn="l"/>
          <a:r>
            <a:rPr lang="en-SG" sz="1200" b="0" baseline="0">
              <a:solidFill>
                <a:sysClr val="windowText" lastClr="000000"/>
              </a:solidFill>
            </a:rPr>
            <a:t>https://www.mrexcel.com/board/threads/vba-save-as-to-users-downloads-folder.1056192/</a:t>
          </a:r>
        </a:p>
        <a:p>
          <a:pPr lvl="0" algn="l"/>
          <a:endParaRPr lang="en-SG" sz="1200" b="0" baseline="0">
            <a:solidFill>
              <a:sysClr val="windowText" lastClr="000000"/>
            </a:solidFill>
          </a:endParaRPr>
        </a:p>
        <a:p>
          <a:pPr lvl="0" algn="l"/>
          <a:r>
            <a:rPr lang="en-SG" sz="1200" b="0" baseline="0">
              <a:solidFill>
                <a:sysClr val="windowText" lastClr="000000"/>
              </a:solidFill>
            </a:rPr>
            <a:t>https://office-watch.com/2020/excel-automatic-refresh-recalculation-tricks/</a:t>
          </a:r>
        </a:p>
      </xdr:txBody>
    </xdr:sp>
    <xdr:clientData/>
  </xdr:twoCellAnchor>
  <xdr:twoCellAnchor>
    <xdr:from>
      <xdr:col>14</xdr:col>
      <xdr:colOff>205740</xdr:colOff>
      <xdr:row>3</xdr:row>
      <xdr:rowOff>180340</xdr:rowOff>
    </xdr:from>
    <xdr:to>
      <xdr:col>16</xdr:col>
      <xdr:colOff>501650</xdr:colOff>
      <xdr:row>6</xdr:row>
      <xdr:rowOff>74930</xdr:rowOff>
    </xdr:to>
    <xdr:sp macro="[0]!AllPDF" textlink="">
      <xdr:nvSpPr>
        <xdr:cNvPr id="30" name="Rectangle: Rounded Corners 29">
          <a:extLst>
            <a:ext uri="{FF2B5EF4-FFF2-40B4-BE49-F238E27FC236}">
              <a16:creationId xmlns:a16="http://schemas.microsoft.com/office/drawing/2014/main" id="{382CA400-57FA-4A98-8000-820B631C9D4B}"/>
            </a:ext>
          </a:extLst>
        </xdr:cNvPr>
        <xdr:cNvSpPr/>
      </xdr:nvSpPr>
      <xdr:spPr>
        <a:xfrm>
          <a:off x="9121140" y="728980"/>
          <a:ext cx="1553210" cy="443230"/>
        </a:xfrm>
        <a:prstGeom prst="roundRect">
          <a:avLst/>
        </a:prstGeom>
        <a:solidFill>
          <a:srgbClr val="C0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1200" b="1">
              <a:solidFill>
                <a:schemeClr val="bg1"/>
              </a:solidFill>
            </a:rPr>
            <a:t>Generate PDF (All)</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11</xdr:col>
      <xdr:colOff>279400</xdr:colOff>
      <xdr:row>1</xdr:row>
      <xdr:rowOff>63500</xdr:rowOff>
    </xdr:from>
    <xdr:to>
      <xdr:col>12</xdr:col>
      <xdr:colOff>590550</xdr:colOff>
      <xdr:row>3</xdr:row>
      <xdr:rowOff>133350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09883E35-3694-44E2-BAD5-82A65F0D1307}"/>
            </a:ext>
          </a:extLst>
        </xdr:cNvPr>
        <xdr:cNvSpPr/>
      </xdr:nvSpPr>
      <xdr:spPr>
        <a:xfrm>
          <a:off x="9702800" y="247650"/>
          <a:ext cx="1530350" cy="438150"/>
        </a:xfrm>
        <a:prstGeom prst="roundRect">
          <a:avLst/>
        </a:prstGeom>
        <a:solidFill>
          <a:srgbClr val="C3A2E8"/>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1200" b="1">
              <a:solidFill>
                <a:sysClr val="windowText" lastClr="000000"/>
              </a:solidFill>
            </a:rPr>
            <a:t>Back to Dashboard</a:t>
          </a:r>
        </a:p>
      </xdr:txBody>
    </xdr:sp>
    <xdr:clientData/>
  </xdr:twoCellAnchor>
  <xdr:twoCellAnchor>
    <xdr:from>
      <xdr:col>7</xdr:col>
      <xdr:colOff>393700</xdr:colOff>
      <xdr:row>4</xdr:row>
      <xdr:rowOff>139700</xdr:rowOff>
    </xdr:from>
    <xdr:to>
      <xdr:col>8</xdr:col>
      <xdr:colOff>1022350</xdr:colOff>
      <xdr:row>5</xdr:row>
      <xdr:rowOff>156210</xdr:rowOff>
    </xdr:to>
    <xdr:sp macro="[0]!Add_InvestmentAsset" textlink="">
      <xdr:nvSpPr>
        <xdr:cNvPr id="5" name="Rectangle: Rounded Corners 8">
          <a:extLst>
            <a:ext uri="{FF2B5EF4-FFF2-40B4-BE49-F238E27FC236}">
              <a16:creationId xmlns:a16="http://schemas.microsoft.com/office/drawing/2014/main" id="{43156B59-164C-4FFA-A584-B307A6DACE23}"/>
            </a:ext>
          </a:extLst>
        </xdr:cNvPr>
        <xdr:cNvSpPr/>
      </xdr:nvSpPr>
      <xdr:spPr>
        <a:xfrm>
          <a:off x="7162800" y="889000"/>
          <a:ext cx="1035050" cy="321310"/>
        </a:xfrm>
        <a:prstGeom prst="roundRect">
          <a:avLst/>
        </a:prstGeom>
        <a:solidFill>
          <a:schemeClr val="accent4"/>
        </a:solidFill>
        <a:ln w="12700" cap="flat" cmpd="sng" algn="ctr">
          <a:no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SG" sz="1100" b="0" i="0" u="none" strike="noStrike" kern="0" cap="none" spc="0" normalizeH="0" baseline="0" noProof="0">
              <a:ln>
                <a:noFill/>
              </a:ln>
              <a:solidFill>
                <a:sysClr val="window" lastClr="FFFFFF"/>
              </a:solidFill>
              <a:effectLst/>
              <a:uLnTx/>
              <a:uFillTx/>
              <a:latin typeface="Calibri" panose="020F0502020204030204"/>
              <a:ea typeface="+mn-ea"/>
              <a:cs typeface="+mn-cs"/>
            </a:rPr>
            <a:t>ADD NEW</a:t>
          </a:r>
        </a:p>
      </xdr:txBody>
    </xdr:sp>
    <xdr:clientData/>
  </xdr:twoCellAnchor>
  <xdr:twoCellAnchor>
    <xdr:from>
      <xdr:col>10</xdr:col>
      <xdr:colOff>704850</xdr:colOff>
      <xdr:row>4</xdr:row>
      <xdr:rowOff>120650</xdr:rowOff>
    </xdr:from>
    <xdr:to>
      <xdr:col>11</xdr:col>
      <xdr:colOff>1062990</xdr:colOff>
      <xdr:row>5</xdr:row>
      <xdr:rowOff>149860</xdr:rowOff>
    </xdr:to>
    <xdr:sp macro="[0]!Add_OtherAsset" textlink="">
      <xdr:nvSpPr>
        <xdr:cNvPr id="6" name="Rectangle: Rounded Corners 8">
          <a:extLst>
            <a:ext uri="{FF2B5EF4-FFF2-40B4-BE49-F238E27FC236}">
              <a16:creationId xmlns:a16="http://schemas.microsoft.com/office/drawing/2014/main" id="{1AECDACF-F4E3-4061-AD4A-A815593E7BF1}"/>
            </a:ext>
          </a:extLst>
        </xdr:cNvPr>
        <xdr:cNvSpPr/>
      </xdr:nvSpPr>
      <xdr:spPr>
        <a:xfrm>
          <a:off x="9702800" y="869950"/>
          <a:ext cx="1082040" cy="334010"/>
        </a:xfrm>
        <a:prstGeom prst="roundRect">
          <a:avLst/>
        </a:prstGeom>
        <a:solidFill>
          <a:schemeClr val="accent5">
            <a:lumMod val="75000"/>
          </a:schemeClr>
        </a:solidFill>
        <a:ln w="12700" cap="flat" cmpd="sng" algn="ctr">
          <a:no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SG" sz="1100" b="0" i="0" u="none" strike="noStrike" kern="0" cap="none" spc="0" normalizeH="0" baseline="0" noProof="0">
              <a:ln>
                <a:noFill/>
              </a:ln>
              <a:solidFill>
                <a:sysClr val="window" lastClr="FFFFFF"/>
              </a:solidFill>
              <a:effectLst/>
              <a:uLnTx/>
              <a:uFillTx/>
              <a:latin typeface="Calibri" panose="020F0502020204030204"/>
              <a:ea typeface="+mn-ea"/>
              <a:cs typeface="+mn-cs"/>
            </a:rPr>
            <a:t>ADD NEW</a:t>
          </a:r>
        </a:p>
      </xdr:txBody>
    </xdr:sp>
    <xdr:clientData/>
  </xdr:twoCellAnchor>
  <xdr:twoCellAnchor>
    <xdr:from>
      <xdr:col>2</xdr:col>
      <xdr:colOff>1244600</xdr:colOff>
      <xdr:row>4</xdr:row>
      <xdr:rowOff>114300</xdr:rowOff>
    </xdr:from>
    <xdr:to>
      <xdr:col>4</xdr:col>
      <xdr:colOff>27940</xdr:colOff>
      <xdr:row>5</xdr:row>
      <xdr:rowOff>138430</xdr:rowOff>
    </xdr:to>
    <xdr:sp macro="[0]!Clear_SalaryAsset" textlink="">
      <xdr:nvSpPr>
        <xdr:cNvPr id="7" name="Rectangle: Rounded Corners 6">
          <a:extLst>
            <a:ext uri="{FF2B5EF4-FFF2-40B4-BE49-F238E27FC236}">
              <a16:creationId xmlns:a16="http://schemas.microsoft.com/office/drawing/2014/main" id="{CEB51742-E00A-4F98-81C2-894D9BB619D8}"/>
            </a:ext>
            <a:ext uri="{147F2762-F138-4A5C-976F-8EAC2B608ADB}">
              <a16:predDERef xmlns:a16="http://schemas.microsoft.com/office/drawing/2014/main" pred="{00000000-0008-0000-0200-000002000000}"/>
            </a:ext>
          </a:extLst>
        </xdr:cNvPr>
        <xdr:cNvSpPr/>
      </xdr:nvSpPr>
      <xdr:spPr>
        <a:xfrm>
          <a:off x="3689350" y="863600"/>
          <a:ext cx="681990" cy="328930"/>
        </a:xfrm>
        <a:prstGeom prst="roundRect">
          <a:avLst/>
        </a:prstGeom>
        <a:solidFill>
          <a:schemeClr val="accent2"/>
        </a:solidFill>
        <a:ln w="12700" cap="flat" cmpd="sng" algn="ctr">
          <a:no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SG" sz="1100" b="0" i="0" u="none" strike="noStrike" kern="0" cap="none" spc="0" normalizeH="0" baseline="0" noProof="0">
              <a:ln>
                <a:noFill/>
              </a:ln>
              <a:solidFill>
                <a:sysClr val="window" lastClr="FFFFFF"/>
              </a:solidFill>
              <a:effectLst/>
              <a:uLnTx/>
              <a:uFillTx/>
              <a:latin typeface="Calibri" panose="020F0502020204030204"/>
              <a:ea typeface="+mn-ea"/>
              <a:cs typeface="+mn-cs"/>
            </a:rPr>
            <a:t>CLEAR</a:t>
          </a:r>
        </a:p>
      </xdr:txBody>
    </xdr:sp>
    <xdr:clientData/>
  </xdr:twoCellAnchor>
  <xdr:twoCellAnchor>
    <xdr:from>
      <xdr:col>2</xdr:col>
      <xdr:colOff>7936</xdr:colOff>
      <xdr:row>4</xdr:row>
      <xdr:rowOff>114300</xdr:rowOff>
    </xdr:from>
    <xdr:to>
      <xdr:col>2</xdr:col>
      <xdr:colOff>1075689</xdr:colOff>
      <xdr:row>5</xdr:row>
      <xdr:rowOff>137160</xdr:rowOff>
    </xdr:to>
    <xdr:sp macro="[0]!Add_SalaryAsset" textlink="">
      <xdr:nvSpPr>
        <xdr:cNvPr id="9" name="Rectangle: Rounded Corners 8">
          <a:extLst>
            <a:ext uri="{FF2B5EF4-FFF2-40B4-BE49-F238E27FC236}">
              <a16:creationId xmlns:a16="http://schemas.microsoft.com/office/drawing/2014/main" id="{3444C652-338D-49AF-9C2A-7B605C6D0CD7}"/>
            </a:ext>
          </a:extLst>
        </xdr:cNvPr>
        <xdr:cNvSpPr/>
      </xdr:nvSpPr>
      <xdr:spPr>
        <a:xfrm>
          <a:off x="2984499" y="860425"/>
          <a:ext cx="1067753" cy="324485"/>
        </a:xfrm>
        <a:prstGeom prst="roundRect">
          <a:avLst/>
        </a:prstGeom>
        <a:solidFill>
          <a:schemeClr val="accent2"/>
        </a:solidFill>
        <a:ln w="12700" cap="flat" cmpd="sng" algn="ctr">
          <a:no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SG" sz="1100" b="0" i="0" u="none" strike="noStrike" kern="0" cap="none" spc="0" normalizeH="0" baseline="0" noProof="0">
              <a:ln>
                <a:noFill/>
              </a:ln>
              <a:solidFill>
                <a:sysClr val="window" lastClr="FFFFFF"/>
              </a:solidFill>
              <a:effectLst/>
              <a:uLnTx/>
              <a:uFillTx/>
              <a:latin typeface="Calibri" panose="020F0502020204030204"/>
              <a:ea typeface="+mn-ea"/>
              <a:cs typeface="+mn-cs"/>
            </a:rPr>
            <a:t>ADD NEW</a:t>
          </a:r>
        </a:p>
      </xdr:txBody>
    </xdr:sp>
    <xdr:clientData/>
  </xdr:twoCellAnchor>
  <xdr:twoCellAnchor>
    <xdr:from>
      <xdr:col>5</xdr:col>
      <xdr:colOff>1231900</xdr:colOff>
      <xdr:row>4</xdr:row>
      <xdr:rowOff>133350</xdr:rowOff>
    </xdr:from>
    <xdr:to>
      <xdr:col>6</xdr:col>
      <xdr:colOff>584200</xdr:colOff>
      <xdr:row>5</xdr:row>
      <xdr:rowOff>144780</xdr:rowOff>
    </xdr:to>
    <xdr:sp macro="[0]!Clear_SubsidyAsset" textlink="">
      <xdr:nvSpPr>
        <xdr:cNvPr id="10" name="Rectangle: Rounded Corners 9">
          <a:extLst>
            <a:ext uri="{FF2B5EF4-FFF2-40B4-BE49-F238E27FC236}">
              <a16:creationId xmlns:a16="http://schemas.microsoft.com/office/drawing/2014/main" id="{5C391029-DC06-4C43-8B3E-B40E82BEB895}"/>
            </a:ext>
            <a:ext uri="{147F2762-F138-4A5C-976F-8EAC2B608ADB}">
              <a16:predDERef xmlns:a16="http://schemas.microsoft.com/office/drawing/2014/main" pred="{00000000-0008-0000-0200-000002000000}"/>
            </a:ext>
          </a:extLst>
        </xdr:cNvPr>
        <xdr:cNvSpPr/>
      </xdr:nvSpPr>
      <xdr:spPr>
        <a:xfrm>
          <a:off x="6013450" y="882650"/>
          <a:ext cx="730250" cy="316230"/>
        </a:xfrm>
        <a:prstGeom prst="roundRect">
          <a:avLst/>
        </a:prstGeom>
        <a:solidFill>
          <a:srgbClr val="FF99CC"/>
        </a:solidFill>
        <a:ln w="12700" cap="flat" cmpd="sng" algn="ctr">
          <a:no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SG" sz="1100" b="0" i="0" u="none" strike="noStrike" kern="0" cap="none" spc="0" normalizeH="0" baseline="0" noProof="0">
              <a:ln>
                <a:noFill/>
              </a:ln>
              <a:solidFill>
                <a:sysClr val="window" lastClr="FFFFFF"/>
              </a:solidFill>
              <a:effectLst/>
              <a:uLnTx/>
              <a:uFillTx/>
              <a:latin typeface="Calibri" panose="020F0502020204030204"/>
              <a:ea typeface="+mn-ea"/>
              <a:cs typeface="+mn-cs"/>
            </a:rPr>
            <a:t>CLEAR</a:t>
          </a:r>
        </a:p>
      </xdr:txBody>
    </xdr:sp>
    <xdr:clientData/>
  </xdr:twoCellAnchor>
  <xdr:twoCellAnchor>
    <xdr:from>
      <xdr:col>5</xdr:col>
      <xdr:colOff>0</xdr:colOff>
      <xdr:row>4</xdr:row>
      <xdr:rowOff>127000</xdr:rowOff>
    </xdr:from>
    <xdr:to>
      <xdr:col>5</xdr:col>
      <xdr:colOff>1088390</xdr:colOff>
      <xdr:row>5</xdr:row>
      <xdr:rowOff>149860</xdr:rowOff>
    </xdr:to>
    <xdr:sp macro="[0]!Add_SubsidyAsset" textlink="">
      <xdr:nvSpPr>
        <xdr:cNvPr id="11" name="Rectangle: Rounded Corners 10">
          <a:extLst>
            <a:ext uri="{FF2B5EF4-FFF2-40B4-BE49-F238E27FC236}">
              <a16:creationId xmlns:a16="http://schemas.microsoft.com/office/drawing/2014/main" id="{2AD6F764-1163-49E7-AA00-7A89575E74B7}"/>
            </a:ext>
          </a:extLst>
        </xdr:cNvPr>
        <xdr:cNvSpPr/>
      </xdr:nvSpPr>
      <xdr:spPr>
        <a:xfrm>
          <a:off x="4781550" y="876300"/>
          <a:ext cx="1088390" cy="327660"/>
        </a:xfrm>
        <a:prstGeom prst="roundRect">
          <a:avLst/>
        </a:prstGeom>
        <a:solidFill>
          <a:srgbClr val="FF99CC"/>
        </a:solidFill>
        <a:ln w="12700" cap="flat" cmpd="sng" algn="ctr">
          <a:no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SG" sz="1100" b="0" i="0" u="none" strike="noStrike" kern="0" cap="none" spc="0" normalizeH="0" baseline="0" noProof="0">
              <a:ln>
                <a:noFill/>
              </a:ln>
              <a:solidFill>
                <a:sysClr val="window" lastClr="FFFFFF"/>
              </a:solidFill>
              <a:effectLst/>
              <a:uLnTx/>
              <a:uFillTx/>
              <a:latin typeface="Calibri" panose="020F0502020204030204"/>
              <a:ea typeface="+mn-ea"/>
              <a:cs typeface="+mn-cs"/>
            </a:rPr>
            <a:t>ADD NEW</a:t>
          </a:r>
        </a:p>
      </xdr:txBody>
    </xdr:sp>
    <xdr:clientData/>
  </xdr:twoCellAnchor>
  <xdr:twoCellAnchor>
    <xdr:from>
      <xdr:col>8</xdr:col>
      <xdr:colOff>1104900</xdr:colOff>
      <xdr:row>4</xdr:row>
      <xdr:rowOff>139700</xdr:rowOff>
    </xdr:from>
    <xdr:to>
      <xdr:col>10</xdr:col>
      <xdr:colOff>12700</xdr:colOff>
      <xdr:row>5</xdr:row>
      <xdr:rowOff>151130</xdr:rowOff>
    </xdr:to>
    <xdr:sp macro="[0]!Clear_InvestmentAsset" textlink="">
      <xdr:nvSpPr>
        <xdr:cNvPr id="12" name="Rectangle: Rounded Corners 11">
          <a:extLst>
            <a:ext uri="{FF2B5EF4-FFF2-40B4-BE49-F238E27FC236}">
              <a16:creationId xmlns:a16="http://schemas.microsoft.com/office/drawing/2014/main" id="{B483FF37-D7D4-4904-B6E0-F07E0EF1765D}"/>
            </a:ext>
            <a:ext uri="{147F2762-F138-4A5C-976F-8EAC2B608ADB}">
              <a16:predDERef xmlns:a16="http://schemas.microsoft.com/office/drawing/2014/main" pred="{00000000-0008-0000-0200-000002000000}"/>
            </a:ext>
          </a:extLst>
        </xdr:cNvPr>
        <xdr:cNvSpPr/>
      </xdr:nvSpPr>
      <xdr:spPr>
        <a:xfrm>
          <a:off x="8280400" y="889000"/>
          <a:ext cx="730250" cy="316230"/>
        </a:xfrm>
        <a:prstGeom prst="roundRect">
          <a:avLst/>
        </a:prstGeom>
        <a:solidFill>
          <a:schemeClr val="accent4"/>
        </a:solidFill>
        <a:ln w="12700" cap="flat" cmpd="sng" algn="ctr">
          <a:no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SG" sz="1100" b="0" i="0" u="none" strike="noStrike" kern="0" cap="none" spc="0" normalizeH="0" baseline="0" noProof="0">
              <a:ln>
                <a:noFill/>
              </a:ln>
              <a:solidFill>
                <a:sysClr val="window" lastClr="FFFFFF"/>
              </a:solidFill>
              <a:effectLst/>
              <a:uLnTx/>
              <a:uFillTx/>
              <a:latin typeface="Calibri" panose="020F0502020204030204"/>
              <a:ea typeface="+mn-ea"/>
              <a:cs typeface="+mn-cs"/>
            </a:rPr>
            <a:t>CLEAR</a:t>
          </a:r>
        </a:p>
      </xdr:txBody>
    </xdr:sp>
    <xdr:clientData/>
  </xdr:twoCellAnchor>
  <xdr:twoCellAnchor>
    <xdr:from>
      <xdr:col>11</xdr:col>
      <xdr:colOff>1104900</xdr:colOff>
      <xdr:row>4</xdr:row>
      <xdr:rowOff>127000</xdr:rowOff>
    </xdr:from>
    <xdr:to>
      <xdr:col>13</xdr:col>
      <xdr:colOff>6350</xdr:colOff>
      <xdr:row>5</xdr:row>
      <xdr:rowOff>138430</xdr:rowOff>
    </xdr:to>
    <xdr:sp macro="[0]!Clear_OtherAsset" textlink="">
      <xdr:nvSpPr>
        <xdr:cNvPr id="13" name="Rectangle: Rounded Corners 12">
          <a:extLst>
            <a:ext uri="{FF2B5EF4-FFF2-40B4-BE49-F238E27FC236}">
              <a16:creationId xmlns:a16="http://schemas.microsoft.com/office/drawing/2014/main" id="{35FB4716-BE28-4184-931B-B2C30C72763F}"/>
            </a:ext>
            <a:ext uri="{147F2762-F138-4A5C-976F-8EAC2B608ADB}">
              <a16:predDERef xmlns:a16="http://schemas.microsoft.com/office/drawing/2014/main" pred="{00000000-0008-0000-0200-000002000000}"/>
            </a:ext>
          </a:extLst>
        </xdr:cNvPr>
        <xdr:cNvSpPr/>
      </xdr:nvSpPr>
      <xdr:spPr>
        <a:xfrm>
          <a:off x="10826750" y="876300"/>
          <a:ext cx="730250" cy="316230"/>
        </a:xfrm>
        <a:prstGeom prst="roundRect">
          <a:avLst/>
        </a:prstGeom>
        <a:solidFill>
          <a:schemeClr val="accent5">
            <a:lumMod val="75000"/>
          </a:schemeClr>
        </a:solidFill>
        <a:ln w="12700" cap="flat" cmpd="sng" algn="ctr">
          <a:no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SG" sz="1100" b="0" i="0" u="none" strike="noStrike" kern="0" cap="none" spc="0" normalizeH="0" baseline="0" noProof="0">
              <a:ln>
                <a:noFill/>
              </a:ln>
              <a:solidFill>
                <a:sysClr val="window" lastClr="FFFFFF"/>
              </a:solidFill>
              <a:effectLst/>
              <a:uLnTx/>
              <a:uFillTx/>
              <a:latin typeface="Calibri" panose="020F0502020204030204"/>
              <a:ea typeface="+mn-ea"/>
              <a:cs typeface="+mn-cs"/>
            </a:rPr>
            <a:t>CLEAR</a:t>
          </a:r>
        </a:p>
      </xdr:txBody>
    </xdr:sp>
    <xdr:clientData/>
  </xdr:twoCellAnchor>
  <xdr:twoCellAnchor>
    <xdr:from>
      <xdr:col>0</xdr:col>
      <xdr:colOff>333375</xdr:colOff>
      <xdr:row>4</xdr:row>
      <xdr:rowOff>66674</xdr:rowOff>
    </xdr:from>
    <xdr:to>
      <xdr:col>2</xdr:col>
      <xdr:colOff>142875</xdr:colOff>
      <xdr:row>20</xdr:row>
      <xdr:rowOff>47625</xdr:rowOff>
    </xdr:to>
    <xdr:graphicFrame macro="">
      <xdr:nvGraphicFramePr>
        <xdr:cNvPr id="3" name="Chart 2">
          <a:extLst>
            <a:ext uri="{FF2B5EF4-FFF2-40B4-BE49-F238E27FC236}">
              <a16:creationId xmlns:a16="http://schemas.microsoft.com/office/drawing/2014/main" id="{FB962DB8-9B54-47B3-A9E4-5C9105D6A61A}"/>
            </a:ext>
            <a:ext uri="{147F2762-F138-4A5C-976F-8EAC2B608ADB}">
              <a16:predDERef xmlns:a16="http://schemas.microsoft.com/office/drawing/2014/main" pred="{35FB4716-BE28-4184-931B-B2C30C72763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132080</xdr:colOff>
      <xdr:row>1</xdr:row>
      <xdr:rowOff>63500</xdr:rowOff>
    </xdr:from>
    <xdr:to>
      <xdr:col>15</xdr:col>
      <xdr:colOff>502920</xdr:colOff>
      <xdr:row>3</xdr:row>
      <xdr:rowOff>139700</xdr:rowOff>
    </xdr:to>
    <xdr:sp macro="[0]!AssetsPDF" textlink="">
      <xdr:nvSpPr>
        <xdr:cNvPr id="17" name="Rectangle: Rounded Corners 16">
          <a:extLst>
            <a:ext uri="{FF2B5EF4-FFF2-40B4-BE49-F238E27FC236}">
              <a16:creationId xmlns:a16="http://schemas.microsoft.com/office/drawing/2014/main" id="{B2121E20-18CF-4AF1-9904-6063702850A0}"/>
            </a:ext>
          </a:extLst>
        </xdr:cNvPr>
        <xdr:cNvSpPr/>
      </xdr:nvSpPr>
      <xdr:spPr>
        <a:xfrm>
          <a:off x="11173460" y="246380"/>
          <a:ext cx="1559560" cy="441960"/>
        </a:xfrm>
        <a:prstGeom prst="roundRect">
          <a:avLst/>
        </a:prstGeom>
        <a:solidFill>
          <a:srgbClr val="C0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1200" b="1">
              <a:solidFill>
                <a:schemeClr val="bg1"/>
              </a:solidFill>
            </a:rPr>
            <a:t>Generate PDF</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66040</xdr:colOff>
      <xdr:row>1</xdr:row>
      <xdr:rowOff>48260</xdr:rowOff>
    </xdr:from>
    <xdr:to>
      <xdr:col>15</xdr:col>
      <xdr:colOff>523240</xdr:colOff>
      <xdr:row>3</xdr:row>
      <xdr:rowOff>118110</xdr:rowOff>
    </xdr:to>
    <xdr:sp macro="" textlink="">
      <xdr:nvSpPr>
        <xdr:cNvPr id="13" name="Rectangle: Rounded Corners 1">
          <a:hlinkClick xmlns:r="http://schemas.openxmlformats.org/officeDocument/2006/relationships" r:id="rId1"/>
          <a:extLst>
            <a:ext uri="{FF2B5EF4-FFF2-40B4-BE49-F238E27FC236}">
              <a16:creationId xmlns:a16="http://schemas.microsoft.com/office/drawing/2014/main" id="{00000000-0008-0000-0200-000002000000}"/>
            </a:ext>
          </a:extLst>
        </xdr:cNvPr>
        <xdr:cNvSpPr/>
      </xdr:nvSpPr>
      <xdr:spPr>
        <a:xfrm>
          <a:off x="11705590" y="232410"/>
          <a:ext cx="2152650" cy="438150"/>
        </a:xfrm>
        <a:prstGeom prst="roundRect">
          <a:avLst/>
        </a:prstGeom>
        <a:solidFill>
          <a:srgbClr val="C3A2E8"/>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1200" b="1">
              <a:solidFill>
                <a:sysClr val="windowText" lastClr="000000"/>
              </a:solidFill>
            </a:rPr>
            <a:t>Back to Dashboard</a:t>
          </a:r>
        </a:p>
      </xdr:txBody>
    </xdr:sp>
    <xdr:clientData/>
  </xdr:twoCellAnchor>
  <xdr:twoCellAnchor>
    <xdr:from>
      <xdr:col>2</xdr:col>
      <xdr:colOff>3810</xdr:colOff>
      <xdr:row>8</xdr:row>
      <xdr:rowOff>8890</xdr:rowOff>
    </xdr:from>
    <xdr:to>
      <xdr:col>2</xdr:col>
      <xdr:colOff>1282700</xdr:colOff>
      <xdr:row>9</xdr:row>
      <xdr:rowOff>114300</xdr:rowOff>
    </xdr:to>
    <xdr:sp macro="[0]!Add_Householdexp" textlink="">
      <xdr:nvSpPr>
        <xdr:cNvPr id="5" name="Rectangle: Rounded Corners 8">
          <a:extLst>
            <a:ext uri="{FF2B5EF4-FFF2-40B4-BE49-F238E27FC236}">
              <a16:creationId xmlns:a16="http://schemas.microsoft.com/office/drawing/2014/main" id="{00000000-0008-0000-0200-000005000000}"/>
            </a:ext>
          </a:extLst>
        </xdr:cNvPr>
        <xdr:cNvSpPr/>
      </xdr:nvSpPr>
      <xdr:spPr>
        <a:xfrm>
          <a:off x="2213610" y="1488440"/>
          <a:ext cx="1278890" cy="289560"/>
        </a:xfrm>
        <a:prstGeom prst="roundRect">
          <a:avLst/>
        </a:prstGeom>
        <a:solidFill>
          <a:srgbClr val="C830CC"/>
        </a:solidFill>
        <a:ln w="12700" cap="flat" cmpd="sng" algn="ctr">
          <a:no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SG" sz="1100" b="0" i="0" u="none" strike="noStrike" kern="0" cap="none" spc="0" normalizeH="0" baseline="0" noProof="0">
              <a:ln>
                <a:noFill/>
              </a:ln>
              <a:solidFill>
                <a:sysClr val="window" lastClr="FFFFFF"/>
              </a:solidFill>
              <a:effectLst/>
              <a:uLnTx/>
              <a:uFillTx/>
              <a:latin typeface="Calibri" panose="020F0502020204030204"/>
              <a:ea typeface="+mn-ea"/>
              <a:cs typeface="+mn-cs"/>
            </a:rPr>
            <a:t>ADD NEW</a:t>
          </a:r>
        </a:p>
      </xdr:txBody>
    </xdr:sp>
    <xdr:clientData/>
  </xdr:twoCellAnchor>
  <xdr:twoCellAnchor>
    <xdr:from>
      <xdr:col>2</xdr:col>
      <xdr:colOff>1441451</xdr:colOff>
      <xdr:row>8</xdr:row>
      <xdr:rowOff>3175</xdr:rowOff>
    </xdr:from>
    <xdr:to>
      <xdr:col>3</xdr:col>
      <xdr:colOff>806451</xdr:colOff>
      <xdr:row>9</xdr:row>
      <xdr:rowOff>109855</xdr:rowOff>
    </xdr:to>
    <xdr:sp macro="[0]!Clear_HouseHoldExp" textlink="">
      <xdr:nvSpPr>
        <xdr:cNvPr id="6" name="Rectangle: Rounded Corners 5">
          <a:extLst>
            <a:ext uri="{FF2B5EF4-FFF2-40B4-BE49-F238E27FC236}">
              <a16:creationId xmlns:a16="http://schemas.microsoft.com/office/drawing/2014/main" id="{00000000-0008-0000-0200-000006000000}"/>
            </a:ext>
            <a:ext uri="{147F2762-F138-4A5C-976F-8EAC2B608ADB}">
              <a16:predDERef xmlns:a16="http://schemas.microsoft.com/office/drawing/2014/main" pred="{00000000-0008-0000-0200-000002000000}"/>
            </a:ext>
          </a:extLst>
        </xdr:cNvPr>
        <xdr:cNvSpPr/>
      </xdr:nvSpPr>
      <xdr:spPr>
        <a:xfrm>
          <a:off x="3651251" y="1482725"/>
          <a:ext cx="914400" cy="290830"/>
        </a:xfrm>
        <a:prstGeom prst="roundRect">
          <a:avLst/>
        </a:prstGeom>
        <a:solidFill>
          <a:srgbClr val="C830CC"/>
        </a:solidFill>
        <a:ln w="12700" cap="flat" cmpd="sng" algn="ctr">
          <a:no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SG" sz="1100" b="0" i="0" u="none" strike="noStrike" kern="0" cap="none" spc="0" normalizeH="0" baseline="0" noProof="0">
              <a:ln>
                <a:noFill/>
              </a:ln>
              <a:solidFill>
                <a:sysClr val="window" lastClr="FFFFFF"/>
              </a:solidFill>
              <a:effectLst/>
              <a:uLnTx/>
              <a:uFillTx/>
              <a:latin typeface="Calibri" panose="020F0502020204030204"/>
              <a:ea typeface="+mn-ea"/>
              <a:cs typeface="+mn-cs"/>
            </a:rPr>
            <a:t>CLEAR</a:t>
          </a:r>
        </a:p>
      </xdr:txBody>
    </xdr:sp>
    <xdr:clientData/>
  </xdr:twoCellAnchor>
  <xdr:twoCellAnchor>
    <xdr:from>
      <xdr:col>5</xdr:col>
      <xdr:colOff>27940</xdr:colOff>
      <xdr:row>8</xdr:row>
      <xdr:rowOff>2540</xdr:rowOff>
    </xdr:from>
    <xdr:to>
      <xdr:col>5</xdr:col>
      <xdr:colOff>1174750</xdr:colOff>
      <xdr:row>9</xdr:row>
      <xdr:rowOff>110490</xdr:rowOff>
    </xdr:to>
    <xdr:sp macro="[0]!Add_UtilitiesExp" textlink="">
      <xdr:nvSpPr>
        <xdr:cNvPr id="7" name="Rectangle: Rounded Corners 6">
          <a:extLst>
            <a:ext uri="{FF2B5EF4-FFF2-40B4-BE49-F238E27FC236}">
              <a16:creationId xmlns:a16="http://schemas.microsoft.com/office/drawing/2014/main" id="{00000000-0008-0000-0200-000007000000}"/>
            </a:ext>
          </a:extLst>
        </xdr:cNvPr>
        <xdr:cNvSpPr/>
      </xdr:nvSpPr>
      <xdr:spPr>
        <a:xfrm>
          <a:off x="5038090" y="1482090"/>
          <a:ext cx="1146810" cy="292100"/>
        </a:xfrm>
        <a:prstGeom prst="roundRect">
          <a:avLst/>
        </a:prstGeom>
        <a:solidFill>
          <a:srgbClr val="C830CC"/>
        </a:solidFill>
        <a:ln w="12700" cap="flat" cmpd="sng" algn="ctr">
          <a:no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SG" sz="1100" b="0" i="0" u="none" strike="noStrike" kern="0" cap="none" spc="0" normalizeH="0" baseline="0" noProof="0">
              <a:ln>
                <a:noFill/>
              </a:ln>
              <a:solidFill>
                <a:sysClr val="window" lastClr="FFFFFF"/>
              </a:solidFill>
              <a:effectLst/>
              <a:uLnTx/>
              <a:uFillTx/>
              <a:latin typeface="Calibri" panose="020F0502020204030204"/>
              <a:ea typeface="+mn-ea"/>
              <a:cs typeface="+mn-cs"/>
            </a:rPr>
            <a:t>ADD NEW</a:t>
          </a:r>
        </a:p>
      </xdr:txBody>
    </xdr:sp>
    <xdr:clientData/>
  </xdr:twoCellAnchor>
  <xdr:twoCellAnchor>
    <xdr:from>
      <xdr:col>5</xdr:col>
      <xdr:colOff>1263650</xdr:colOff>
      <xdr:row>8</xdr:row>
      <xdr:rowOff>8890</xdr:rowOff>
    </xdr:from>
    <xdr:to>
      <xdr:col>6</xdr:col>
      <xdr:colOff>595630</xdr:colOff>
      <xdr:row>9</xdr:row>
      <xdr:rowOff>116840</xdr:rowOff>
    </xdr:to>
    <xdr:sp macro="[0]!Clear_UtilitiesExp" textlink="">
      <xdr:nvSpPr>
        <xdr:cNvPr id="8" name="Rectangle: Rounded Corners 7">
          <a:extLst>
            <a:ext uri="{FF2B5EF4-FFF2-40B4-BE49-F238E27FC236}">
              <a16:creationId xmlns:a16="http://schemas.microsoft.com/office/drawing/2014/main" id="{00000000-0008-0000-0200-000008000000}"/>
            </a:ext>
          </a:extLst>
        </xdr:cNvPr>
        <xdr:cNvSpPr/>
      </xdr:nvSpPr>
      <xdr:spPr>
        <a:xfrm>
          <a:off x="6273800" y="1488440"/>
          <a:ext cx="811530" cy="292100"/>
        </a:xfrm>
        <a:prstGeom prst="roundRect">
          <a:avLst/>
        </a:prstGeom>
        <a:solidFill>
          <a:srgbClr val="C830CC"/>
        </a:solidFill>
        <a:ln w="12700" cap="flat" cmpd="sng" algn="ctr">
          <a:no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SG" sz="1100" b="0" i="0" u="none" strike="noStrike" kern="0" cap="none" spc="0" normalizeH="0" baseline="0" noProof="0">
              <a:ln>
                <a:noFill/>
              </a:ln>
              <a:solidFill>
                <a:sysClr val="window" lastClr="FFFFFF"/>
              </a:solidFill>
              <a:effectLst/>
              <a:uLnTx/>
              <a:uFillTx/>
              <a:latin typeface="Calibri" panose="020F0502020204030204"/>
              <a:ea typeface="+mn-ea"/>
              <a:cs typeface="+mn-cs"/>
            </a:rPr>
            <a:t>CLEAR</a:t>
          </a:r>
        </a:p>
      </xdr:txBody>
    </xdr:sp>
    <xdr:clientData/>
  </xdr:twoCellAnchor>
  <xdr:twoCellAnchor>
    <xdr:from>
      <xdr:col>14</xdr:col>
      <xdr:colOff>3810</xdr:colOff>
      <xdr:row>8</xdr:row>
      <xdr:rowOff>15240</xdr:rowOff>
    </xdr:from>
    <xdr:to>
      <xdr:col>14</xdr:col>
      <xdr:colOff>952500</xdr:colOff>
      <xdr:row>9</xdr:row>
      <xdr:rowOff>129540</xdr:rowOff>
    </xdr:to>
    <xdr:sp macro="[0]!Add_BankLoan" textlink="">
      <xdr:nvSpPr>
        <xdr:cNvPr id="9" name="Rectangle: Rounded Corners 8">
          <a:extLst>
            <a:ext uri="{FF2B5EF4-FFF2-40B4-BE49-F238E27FC236}">
              <a16:creationId xmlns:a16="http://schemas.microsoft.com/office/drawing/2014/main" id="{00000000-0008-0000-0200-000009000000}"/>
            </a:ext>
            <a:ext uri="{147F2762-F138-4A5C-976F-8EAC2B608ADB}">
              <a16:predDERef xmlns:a16="http://schemas.microsoft.com/office/drawing/2014/main" pred="{00000000-0008-0000-0200-00000A000000}"/>
            </a:ext>
          </a:extLst>
        </xdr:cNvPr>
        <xdr:cNvSpPr/>
      </xdr:nvSpPr>
      <xdr:spPr>
        <a:xfrm>
          <a:off x="12805410" y="1494790"/>
          <a:ext cx="948690" cy="298450"/>
        </a:xfrm>
        <a:prstGeom prst="roundRect">
          <a:avLst/>
        </a:prstGeom>
        <a:solidFill>
          <a:srgbClr val="C830CC"/>
        </a:solidFill>
        <a:ln w="12700" cap="flat" cmpd="sng" algn="ctr">
          <a:no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SG" sz="1100" b="0" i="0" u="none" strike="noStrike" kern="0" cap="none" spc="0" normalizeH="0" baseline="0" noProof="0">
              <a:ln>
                <a:noFill/>
              </a:ln>
              <a:solidFill>
                <a:sysClr val="window" lastClr="FFFFFF"/>
              </a:solidFill>
              <a:effectLst/>
              <a:uLnTx/>
              <a:uFillTx/>
              <a:latin typeface="Calibri" panose="020F0502020204030204"/>
              <a:ea typeface="+mn-ea"/>
              <a:cs typeface="+mn-cs"/>
            </a:rPr>
            <a:t>ADD NEW</a:t>
          </a:r>
        </a:p>
      </xdr:txBody>
    </xdr:sp>
    <xdr:clientData/>
  </xdr:twoCellAnchor>
  <xdr:twoCellAnchor>
    <xdr:from>
      <xdr:col>14</xdr:col>
      <xdr:colOff>1044576</xdr:colOff>
      <xdr:row>8</xdr:row>
      <xdr:rowOff>19050</xdr:rowOff>
    </xdr:from>
    <xdr:to>
      <xdr:col>16</xdr:col>
      <xdr:colOff>3176</xdr:colOff>
      <xdr:row>9</xdr:row>
      <xdr:rowOff>133350</xdr:rowOff>
    </xdr:to>
    <xdr:sp macro="[0]!Clear_BankLoan" textlink="">
      <xdr:nvSpPr>
        <xdr:cNvPr id="16" name="Rectangle: Rounded Corners 9">
          <a:extLst>
            <a:ext uri="{FF2B5EF4-FFF2-40B4-BE49-F238E27FC236}">
              <a16:creationId xmlns:a16="http://schemas.microsoft.com/office/drawing/2014/main" id="{00000000-0008-0000-0200-00000A000000}"/>
            </a:ext>
            <a:ext uri="{147F2762-F138-4A5C-976F-8EAC2B608ADB}">
              <a16:predDERef xmlns:a16="http://schemas.microsoft.com/office/drawing/2014/main" pred="{00000000-0008-0000-0200-000009000000}"/>
            </a:ext>
          </a:extLst>
        </xdr:cNvPr>
        <xdr:cNvSpPr/>
      </xdr:nvSpPr>
      <xdr:spPr>
        <a:xfrm>
          <a:off x="13236576" y="1485900"/>
          <a:ext cx="758825" cy="295275"/>
        </a:xfrm>
        <a:prstGeom prst="roundRect">
          <a:avLst/>
        </a:prstGeom>
        <a:solidFill>
          <a:srgbClr val="C830CC"/>
        </a:solidFill>
        <a:ln w="12700" cap="flat" cmpd="sng" algn="ctr">
          <a:no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SG" sz="1100" b="0" i="0" u="none" strike="noStrike" kern="0" cap="none" spc="0" normalizeH="0" baseline="0" noProof="0">
              <a:ln>
                <a:noFill/>
              </a:ln>
              <a:solidFill>
                <a:sysClr val="window" lastClr="FFFFFF"/>
              </a:solidFill>
              <a:effectLst/>
              <a:uLnTx/>
              <a:uFillTx/>
              <a:latin typeface="Calibri" panose="020F0502020204030204"/>
              <a:ea typeface="+mn-ea"/>
              <a:cs typeface="+mn-cs"/>
            </a:rPr>
            <a:t>CLEAR</a:t>
          </a:r>
        </a:p>
      </xdr:txBody>
    </xdr:sp>
    <xdr:clientData/>
  </xdr:twoCellAnchor>
  <xdr:twoCellAnchor>
    <xdr:from>
      <xdr:col>11</xdr:col>
      <xdr:colOff>5714</xdr:colOff>
      <xdr:row>8</xdr:row>
      <xdr:rowOff>7620</xdr:rowOff>
    </xdr:from>
    <xdr:to>
      <xdr:col>11</xdr:col>
      <xdr:colOff>1219199</xdr:colOff>
      <xdr:row>9</xdr:row>
      <xdr:rowOff>102870</xdr:rowOff>
    </xdr:to>
    <xdr:sp macro="[0]!Add_MortgageLoans" textlink="">
      <xdr:nvSpPr>
        <xdr:cNvPr id="11" name="Rectangle: Rounded Corners 10">
          <a:extLst>
            <a:ext uri="{FF2B5EF4-FFF2-40B4-BE49-F238E27FC236}">
              <a16:creationId xmlns:a16="http://schemas.microsoft.com/office/drawing/2014/main" id="{00000000-0008-0000-0200-00000B000000}"/>
            </a:ext>
            <a:ext uri="{147F2762-F138-4A5C-976F-8EAC2B608ADB}">
              <a16:predDERef xmlns:a16="http://schemas.microsoft.com/office/drawing/2014/main" pred="{00000000-0008-0000-0200-00000C000000}"/>
            </a:ext>
          </a:extLst>
        </xdr:cNvPr>
        <xdr:cNvSpPr/>
      </xdr:nvSpPr>
      <xdr:spPr>
        <a:xfrm>
          <a:off x="10438764" y="1487170"/>
          <a:ext cx="1213485" cy="279400"/>
        </a:xfrm>
        <a:prstGeom prst="roundRect">
          <a:avLst/>
        </a:prstGeom>
        <a:solidFill>
          <a:srgbClr val="C830CC"/>
        </a:solidFill>
        <a:ln w="12700" cap="flat" cmpd="sng" algn="ctr">
          <a:no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SG" sz="1100" b="0" i="0" u="none" strike="noStrike" kern="0" cap="none" spc="0" normalizeH="0" baseline="0" noProof="0">
              <a:ln>
                <a:noFill/>
              </a:ln>
              <a:solidFill>
                <a:sysClr val="window" lastClr="FFFFFF"/>
              </a:solidFill>
              <a:effectLst/>
              <a:uLnTx/>
              <a:uFillTx/>
              <a:latin typeface="Calibri" panose="020F0502020204030204"/>
              <a:ea typeface="+mn-ea"/>
              <a:cs typeface="+mn-cs"/>
            </a:rPr>
            <a:t>ADD NEW</a:t>
          </a:r>
        </a:p>
      </xdr:txBody>
    </xdr:sp>
    <xdr:clientData/>
  </xdr:twoCellAnchor>
  <xdr:twoCellAnchor>
    <xdr:from>
      <xdr:col>12</xdr:col>
      <xdr:colOff>64453</xdr:colOff>
      <xdr:row>8</xdr:row>
      <xdr:rowOff>4763</xdr:rowOff>
    </xdr:from>
    <xdr:to>
      <xdr:col>12</xdr:col>
      <xdr:colOff>729298</xdr:colOff>
      <xdr:row>9</xdr:row>
      <xdr:rowOff>109538</xdr:rowOff>
    </xdr:to>
    <xdr:sp macro="[0]!Clear_MortgageLoan" textlink="">
      <xdr:nvSpPr>
        <xdr:cNvPr id="15" name="Rectangle: Rounded Corners 11">
          <a:extLst>
            <a:ext uri="{FF2B5EF4-FFF2-40B4-BE49-F238E27FC236}">
              <a16:creationId xmlns:a16="http://schemas.microsoft.com/office/drawing/2014/main" id="{00000000-0008-0000-0200-00000C000000}"/>
            </a:ext>
            <a:ext uri="{147F2762-F138-4A5C-976F-8EAC2B608ADB}">
              <a16:predDERef xmlns:a16="http://schemas.microsoft.com/office/drawing/2014/main" pred="{00000000-0008-0000-0200-00000B000000}"/>
            </a:ext>
          </a:extLst>
        </xdr:cNvPr>
        <xdr:cNvSpPr/>
      </xdr:nvSpPr>
      <xdr:spPr>
        <a:xfrm>
          <a:off x="13050203" y="1854201"/>
          <a:ext cx="664845" cy="342900"/>
        </a:xfrm>
        <a:prstGeom prst="roundRect">
          <a:avLst/>
        </a:prstGeom>
        <a:solidFill>
          <a:srgbClr val="C830CC"/>
        </a:solidFill>
        <a:ln w="12700" cap="flat" cmpd="sng" algn="ctr">
          <a:no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SG" sz="1100" b="0" i="0" u="none" strike="noStrike" kern="0" cap="none" spc="0" normalizeH="0" baseline="0" noProof="0">
              <a:ln>
                <a:noFill/>
              </a:ln>
              <a:solidFill>
                <a:sysClr val="window" lastClr="FFFFFF"/>
              </a:solidFill>
              <a:effectLst/>
              <a:uLnTx/>
              <a:uFillTx/>
              <a:latin typeface="Calibri" panose="020F0502020204030204"/>
              <a:ea typeface="+mn-ea"/>
              <a:cs typeface="+mn-cs"/>
            </a:rPr>
            <a:t>CLEAR</a:t>
          </a:r>
        </a:p>
      </xdr:txBody>
    </xdr:sp>
    <xdr:clientData/>
  </xdr:twoCellAnchor>
  <xdr:twoCellAnchor>
    <xdr:from>
      <xdr:col>7</xdr:col>
      <xdr:colOff>309880</xdr:colOff>
      <xdr:row>8</xdr:row>
      <xdr:rowOff>12065</xdr:rowOff>
    </xdr:from>
    <xdr:to>
      <xdr:col>8</xdr:col>
      <xdr:colOff>1276350</xdr:colOff>
      <xdr:row>9</xdr:row>
      <xdr:rowOff>118745</xdr:rowOff>
    </xdr:to>
    <xdr:sp macro="[0]!Add_RentalExp" textlink="">
      <xdr:nvSpPr>
        <xdr:cNvPr id="3" name="Rectangle: Rounded Corners 13">
          <a:extLst>
            <a:ext uri="{FF2B5EF4-FFF2-40B4-BE49-F238E27FC236}">
              <a16:creationId xmlns:a16="http://schemas.microsoft.com/office/drawing/2014/main" id="{00000000-0008-0000-0200-00000E000000}"/>
            </a:ext>
            <a:ext uri="{147F2762-F138-4A5C-976F-8EAC2B608ADB}">
              <a16:predDERef xmlns:a16="http://schemas.microsoft.com/office/drawing/2014/main" pred="{00000000-0008-0000-0200-00000C000000}"/>
            </a:ext>
          </a:extLst>
        </xdr:cNvPr>
        <xdr:cNvSpPr/>
      </xdr:nvSpPr>
      <xdr:spPr>
        <a:xfrm>
          <a:off x="7072630" y="1545590"/>
          <a:ext cx="1328420" cy="344805"/>
        </a:xfrm>
        <a:prstGeom prst="roundRect">
          <a:avLst/>
        </a:prstGeom>
        <a:solidFill>
          <a:srgbClr val="C830CC"/>
        </a:solidFill>
        <a:ln w="12700" cap="flat" cmpd="sng" algn="ctr">
          <a:no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SG" sz="1100" b="0" i="0" u="none" strike="noStrike" kern="0" cap="none" spc="0" normalizeH="0" baseline="0" noProof="0">
              <a:ln>
                <a:noFill/>
              </a:ln>
              <a:solidFill>
                <a:sysClr val="window" lastClr="FFFFFF"/>
              </a:solidFill>
              <a:effectLst/>
              <a:uLnTx/>
              <a:uFillTx/>
              <a:latin typeface="Calibri" panose="020F0502020204030204"/>
              <a:ea typeface="+mn-ea"/>
              <a:cs typeface="+mn-cs"/>
            </a:rPr>
            <a:t>ADD NEW</a:t>
          </a:r>
        </a:p>
      </xdr:txBody>
    </xdr:sp>
    <xdr:clientData/>
  </xdr:twoCellAnchor>
  <xdr:twoCellAnchor>
    <xdr:from>
      <xdr:col>8</xdr:col>
      <xdr:colOff>1418590</xdr:colOff>
      <xdr:row>8</xdr:row>
      <xdr:rowOff>3810</xdr:rowOff>
    </xdr:from>
    <xdr:to>
      <xdr:col>10</xdr:col>
      <xdr:colOff>0</xdr:colOff>
      <xdr:row>9</xdr:row>
      <xdr:rowOff>110490</xdr:rowOff>
    </xdr:to>
    <xdr:sp macro="[0]!Clear_RentalExp" textlink="">
      <xdr:nvSpPr>
        <xdr:cNvPr id="17" name="Rectangle: Rounded Corners 16">
          <a:extLst>
            <a:ext uri="{FF2B5EF4-FFF2-40B4-BE49-F238E27FC236}">
              <a16:creationId xmlns:a16="http://schemas.microsoft.com/office/drawing/2014/main" id="{00000000-0008-0000-0200-000011000000}"/>
            </a:ext>
          </a:extLst>
        </xdr:cNvPr>
        <xdr:cNvSpPr/>
      </xdr:nvSpPr>
      <xdr:spPr>
        <a:xfrm>
          <a:off x="8917940" y="1483360"/>
          <a:ext cx="1057910" cy="290830"/>
        </a:xfrm>
        <a:prstGeom prst="roundRect">
          <a:avLst/>
        </a:prstGeom>
        <a:solidFill>
          <a:srgbClr val="C830CC"/>
        </a:solidFill>
        <a:ln w="12700" cap="flat" cmpd="sng" algn="ctr">
          <a:no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SG" sz="1100" b="0" i="0" u="none" strike="noStrike" kern="0" cap="none" spc="0" normalizeH="0" baseline="0" noProof="0">
              <a:ln>
                <a:noFill/>
              </a:ln>
              <a:solidFill>
                <a:sysClr val="window" lastClr="FFFFFF"/>
              </a:solidFill>
              <a:effectLst/>
              <a:uLnTx/>
              <a:uFillTx/>
              <a:latin typeface="Calibri" panose="020F0502020204030204"/>
              <a:ea typeface="+mn-ea"/>
              <a:cs typeface="+mn-cs"/>
            </a:rPr>
            <a:t>CLEAR</a:t>
          </a:r>
        </a:p>
      </xdr:txBody>
    </xdr:sp>
    <xdr:clientData/>
  </xdr:twoCellAnchor>
  <xdr:twoCellAnchor>
    <xdr:from>
      <xdr:col>0</xdr:col>
      <xdr:colOff>349251</xdr:colOff>
      <xdr:row>4</xdr:row>
      <xdr:rowOff>209020</xdr:rowOff>
    </xdr:from>
    <xdr:to>
      <xdr:col>2</xdr:col>
      <xdr:colOff>101600</xdr:colOff>
      <xdr:row>20</xdr:row>
      <xdr:rowOff>177270</xdr:rowOff>
    </xdr:to>
    <xdr:graphicFrame macro="">
      <xdr:nvGraphicFramePr>
        <xdr:cNvPr id="4" name="Chart 3">
          <a:extLst>
            <a:ext uri="{FF2B5EF4-FFF2-40B4-BE49-F238E27FC236}">
              <a16:creationId xmlns:a16="http://schemas.microsoft.com/office/drawing/2014/main" id="{1A8B14D7-98CE-40A9-9BDC-A213E6959F3D}"/>
            </a:ext>
            <a:ext uri="{147F2762-F138-4A5C-976F-8EAC2B608ADB}">
              <a16:predDERef xmlns:a16="http://schemas.microsoft.com/office/drawing/2014/main" pred="{00000000-0008-0000-02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17780</xdr:colOff>
      <xdr:row>1</xdr:row>
      <xdr:rowOff>45720</xdr:rowOff>
    </xdr:from>
    <xdr:to>
      <xdr:col>17</xdr:col>
      <xdr:colOff>965200</xdr:colOff>
      <xdr:row>3</xdr:row>
      <xdr:rowOff>121920</xdr:rowOff>
    </xdr:to>
    <xdr:sp macro="[0]!LiabilitiesPDF" textlink="">
      <xdr:nvSpPr>
        <xdr:cNvPr id="18" name="Rectangle: Rounded Corners 17">
          <a:extLst>
            <a:ext uri="{FF2B5EF4-FFF2-40B4-BE49-F238E27FC236}">
              <a16:creationId xmlns:a16="http://schemas.microsoft.com/office/drawing/2014/main" id="{B01A7888-F8BD-4CA4-9BFB-659CE47946EA}"/>
            </a:ext>
          </a:extLst>
        </xdr:cNvPr>
        <xdr:cNvSpPr/>
      </xdr:nvSpPr>
      <xdr:spPr>
        <a:xfrm>
          <a:off x="14617700" y="228600"/>
          <a:ext cx="1564640" cy="441960"/>
        </a:xfrm>
        <a:prstGeom prst="roundRect">
          <a:avLst/>
        </a:prstGeom>
        <a:solidFill>
          <a:srgbClr val="C0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1200" b="1">
              <a:solidFill>
                <a:schemeClr val="bg1"/>
              </a:solidFill>
            </a:rPr>
            <a:t>Generate PDF</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9</xdr:col>
      <xdr:colOff>182880</xdr:colOff>
      <xdr:row>4</xdr:row>
      <xdr:rowOff>144780</xdr:rowOff>
    </xdr:from>
    <xdr:to>
      <xdr:col>11</xdr:col>
      <xdr:colOff>38100</xdr:colOff>
      <xdr:row>6</xdr:row>
      <xdr:rowOff>214630</xdr:rowOff>
    </xdr:to>
    <xdr:sp macro="" textlink="">
      <xdr:nvSpPr>
        <xdr:cNvPr id="6" name="Rectangle: Rounded Corners 3">
          <a:hlinkClick xmlns:r="http://schemas.openxmlformats.org/officeDocument/2006/relationships" r:id="rId1"/>
          <a:extLst>
            <a:ext uri="{FF2B5EF4-FFF2-40B4-BE49-F238E27FC236}">
              <a16:creationId xmlns:a16="http://schemas.microsoft.com/office/drawing/2014/main" id="{00000000-0008-0000-0300-000004000000}"/>
            </a:ext>
          </a:extLst>
        </xdr:cNvPr>
        <xdr:cNvSpPr/>
      </xdr:nvSpPr>
      <xdr:spPr>
        <a:xfrm>
          <a:off x="10081260" y="701040"/>
          <a:ext cx="1676400" cy="435610"/>
        </a:xfrm>
        <a:prstGeom prst="roundRect">
          <a:avLst/>
        </a:prstGeom>
        <a:solidFill>
          <a:srgbClr val="C3A2E8"/>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1200" b="1">
              <a:solidFill>
                <a:sysClr val="windowText" lastClr="000000"/>
              </a:solidFill>
            </a:rPr>
            <a:t>Back to Dashboard</a:t>
          </a:r>
        </a:p>
      </xdr:txBody>
    </xdr:sp>
    <xdr:clientData/>
  </xdr:twoCellAnchor>
  <xdr:twoCellAnchor>
    <xdr:from>
      <xdr:col>9</xdr:col>
      <xdr:colOff>196849</xdr:colOff>
      <xdr:row>7</xdr:row>
      <xdr:rowOff>138430</xdr:rowOff>
    </xdr:from>
    <xdr:to>
      <xdr:col>11</xdr:col>
      <xdr:colOff>42332</xdr:colOff>
      <xdr:row>9</xdr:row>
      <xdr:rowOff>60960</xdr:rowOff>
    </xdr:to>
    <xdr:sp macro="[0]!InvestmentsPDF" textlink="">
      <xdr:nvSpPr>
        <xdr:cNvPr id="4" name="Rectangle: Rounded Corners 3">
          <a:extLst>
            <a:ext uri="{FF2B5EF4-FFF2-40B4-BE49-F238E27FC236}">
              <a16:creationId xmlns:a16="http://schemas.microsoft.com/office/drawing/2014/main" id="{71137CE8-9006-452D-8DDF-BD4AE2F5B228}"/>
            </a:ext>
          </a:extLst>
        </xdr:cNvPr>
        <xdr:cNvSpPr/>
      </xdr:nvSpPr>
      <xdr:spPr>
        <a:xfrm>
          <a:off x="14780682" y="1359041"/>
          <a:ext cx="1658761" cy="423475"/>
        </a:xfrm>
        <a:prstGeom prst="roundRect">
          <a:avLst/>
        </a:prstGeom>
        <a:solidFill>
          <a:srgbClr val="C0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1200" b="1">
              <a:solidFill>
                <a:schemeClr val="bg1"/>
              </a:solidFill>
            </a:rPr>
            <a:t>Generate PDF</a:t>
          </a:r>
        </a:p>
      </xdr:txBody>
    </xdr:sp>
    <xdr:clientData/>
  </xdr:twoCellAnchor>
  <xdr:twoCellAnchor>
    <xdr:from>
      <xdr:col>0</xdr:col>
      <xdr:colOff>747890</xdr:colOff>
      <xdr:row>23</xdr:row>
      <xdr:rowOff>28223</xdr:rowOff>
    </xdr:from>
    <xdr:to>
      <xdr:col>0</xdr:col>
      <xdr:colOff>2525890</xdr:colOff>
      <xdr:row>25</xdr:row>
      <xdr:rowOff>162278</xdr:rowOff>
    </xdr:to>
    <xdr:sp macro="[0]!Refresh" textlink="">
      <xdr:nvSpPr>
        <xdr:cNvPr id="5" name="Rectangle 4">
          <a:extLst>
            <a:ext uri="{FF2B5EF4-FFF2-40B4-BE49-F238E27FC236}">
              <a16:creationId xmlns:a16="http://schemas.microsoft.com/office/drawing/2014/main" id="{85DED5A6-7409-4BF1-81F1-BA5515BB7B24}"/>
            </a:ext>
          </a:extLst>
        </xdr:cNvPr>
        <xdr:cNvSpPr/>
      </xdr:nvSpPr>
      <xdr:spPr>
        <a:xfrm>
          <a:off x="747890" y="4628445"/>
          <a:ext cx="1778000" cy="50094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SG" sz="1100"/>
            <a:t>CLICK HERE TO AUTO REFRESH</a:t>
          </a:r>
        </a:p>
      </xdr:txBody>
    </xdr:sp>
    <xdr:clientData/>
  </xdr:twoCellAnchor>
  <xdr:twoCellAnchor>
    <xdr:from>
      <xdr:col>0</xdr:col>
      <xdr:colOff>183443</xdr:colOff>
      <xdr:row>5</xdr:row>
      <xdr:rowOff>154045</xdr:rowOff>
    </xdr:from>
    <xdr:to>
      <xdr:col>0</xdr:col>
      <xdr:colOff>3478388</xdr:colOff>
      <xdr:row>23</xdr:row>
      <xdr:rowOff>42334</xdr:rowOff>
    </xdr:to>
    <xdr:graphicFrame macro="">
      <xdr:nvGraphicFramePr>
        <xdr:cNvPr id="7" name="Chart 1">
          <a:extLst>
            <a:ext uri="{FF2B5EF4-FFF2-40B4-BE49-F238E27FC236}">
              <a16:creationId xmlns:a16="http://schemas.microsoft.com/office/drawing/2014/main" id="{46D2C90B-62CB-4E24-B900-0084446C47BC}"/>
            </a:ext>
            <a:ext uri="{147F2762-F138-4A5C-976F-8EAC2B608ADB}">
              <a16:predDERef xmlns:a16="http://schemas.microsoft.com/office/drawing/2014/main" pred="{85DED5A6-7409-4BF1-81F1-BA5515BB7B2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7</xdr:col>
      <xdr:colOff>0</xdr:colOff>
      <xdr:row>1</xdr:row>
      <xdr:rowOff>0</xdr:rowOff>
    </xdr:from>
    <xdr:to>
      <xdr:col>9</xdr:col>
      <xdr:colOff>406862</xdr:colOff>
      <xdr:row>3</xdr:row>
      <xdr:rowOff>63962</xdr:rowOff>
    </xdr:to>
    <xdr:sp macro="" textlink="">
      <xdr:nvSpPr>
        <xdr:cNvPr id="3" name="Rectangle: Rounded Corners 2">
          <a:hlinkClick xmlns:r="http://schemas.openxmlformats.org/officeDocument/2006/relationships" r:id="rId1"/>
          <a:extLst>
            <a:ext uri="{FF2B5EF4-FFF2-40B4-BE49-F238E27FC236}">
              <a16:creationId xmlns:a16="http://schemas.microsoft.com/office/drawing/2014/main" id="{50FC1FE7-87A5-475E-BA26-6B590D2B404F}"/>
            </a:ext>
          </a:extLst>
        </xdr:cNvPr>
        <xdr:cNvSpPr/>
      </xdr:nvSpPr>
      <xdr:spPr>
        <a:xfrm>
          <a:off x="9337964" y="180109"/>
          <a:ext cx="1681480" cy="424180"/>
        </a:xfrm>
        <a:prstGeom prst="roundRect">
          <a:avLst/>
        </a:prstGeom>
        <a:solidFill>
          <a:srgbClr val="C3A2E8"/>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1200" b="1">
              <a:solidFill>
                <a:sysClr val="windowText" lastClr="000000"/>
              </a:solidFill>
            </a:rPr>
            <a:t>Back to Dashboard</a:t>
          </a:r>
        </a:p>
      </xdr:txBody>
    </xdr:sp>
    <xdr:clientData/>
  </xdr:twoCellAnchor>
  <xdr:twoCellAnchor>
    <xdr:from>
      <xdr:col>7</xdr:col>
      <xdr:colOff>13854</xdr:colOff>
      <xdr:row>3</xdr:row>
      <xdr:rowOff>159328</xdr:rowOff>
    </xdr:from>
    <xdr:to>
      <xdr:col>9</xdr:col>
      <xdr:colOff>386773</xdr:colOff>
      <xdr:row>6</xdr:row>
      <xdr:rowOff>41910</xdr:rowOff>
    </xdr:to>
    <xdr:sp macro="[0]!LedgerPDF" textlink="">
      <xdr:nvSpPr>
        <xdr:cNvPr id="4" name="Rectangle: Rounded Corners 3">
          <a:extLst>
            <a:ext uri="{FF2B5EF4-FFF2-40B4-BE49-F238E27FC236}">
              <a16:creationId xmlns:a16="http://schemas.microsoft.com/office/drawing/2014/main" id="{1F22073D-772F-4989-B047-FA66F5C87786}"/>
            </a:ext>
          </a:extLst>
        </xdr:cNvPr>
        <xdr:cNvSpPr/>
      </xdr:nvSpPr>
      <xdr:spPr>
        <a:xfrm>
          <a:off x="9371445" y="713510"/>
          <a:ext cx="1654464" cy="436764"/>
        </a:xfrm>
        <a:prstGeom prst="roundRect">
          <a:avLst/>
        </a:prstGeom>
        <a:solidFill>
          <a:srgbClr val="C0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1200" b="1">
              <a:solidFill>
                <a:schemeClr val="bg1"/>
              </a:solidFill>
            </a:rPr>
            <a:t>Generate PDF</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11</xdr:col>
      <xdr:colOff>292099</xdr:colOff>
      <xdr:row>1</xdr:row>
      <xdr:rowOff>58531</xdr:rowOff>
    </xdr:from>
    <xdr:to>
      <xdr:col>14</xdr:col>
      <xdr:colOff>134731</xdr:colOff>
      <xdr:row>3</xdr:row>
      <xdr:rowOff>127718</xdr:rowOff>
    </xdr:to>
    <xdr:sp macro="" textlink="">
      <xdr:nvSpPr>
        <xdr:cNvPr id="5" name="Rectangle: Rounded Corners 1">
          <a:hlinkClick xmlns:r="http://schemas.openxmlformats.org/officeDocument/2006/relationships" r:id="rId1"/>
          <a:extLst>
            <a:ext uri="{FF2B5EF4-FFF2-40B4-BE49-F238E27FC236}">
              <a16:creationId xmlns:a16="http://schemas.microsoft.com/office/drawing/2014/main" id="{00000000-0008-0000-0500-000002000000}"/>
            </a:ext>
          </a:extLst>
        </xdr:cNvPr>
        <xdr:cNvSpPr/>
      </xdr:nvSpPr>
      <xdr:spPr>
        <a:xfrm>
          <a:off x="7289799" y="242681"/>
          <a:ext cx="1633332" cy="437487"/>
        </a:xfrm>
        <a:prstGeom prst="roundRect">
          <a:avLst/>
        </a:prstGeom>
        <a:solidFill>
          <a:srgbClr val="C3A2E8"/>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1200" b="1">
              <a:solidFill>
                <a:sysClr val="windowText" lastClr="000000"/>
              </a:solidFill>
            </a:rPr>
            <a:t>Back to Dashboard</a:t>
          </a:r>
        </a:p>
      </xdr:txBody>
    </xdr:sp>
    <xdr:clientData/>
  </xdr:twoCellAnchor>
  <xdr:twoCellAnchor>
    <xdr:from>
      <xdr:col>14</xdr:col>
      <xdr:colOff>270933</xdr:colOff>
      <xdr:row>1</xdr:row>
      <xdr:rowOff>59266</xdr:rowOff>
    </xdr:from>
    <xdr:to>
      <xdr:col>17</xdr:col>
      <xdr:colOff>48683</xdr:colOff>
      <xdr:row>3</xdr:row>
      <xdr:rowOff>127423</xdr:rowOff>
    </xdr:to>
    <xdr:sp macro="[0]!CPFPDF" textlink="">
      <xdr:nvSpPr>
        <xdr:cNvPr id="3" name="Rectangle: Rounded Corners 2">
          <a:extLst>
            <a:ext uri="{FF2B5EF4-FFF2-40B4-BE49-F238E27FC236}">
              <a16:creationId xmlns:a16="http://schemas.microsoft.com/office/drawing/2014/main" id="{0E93C180-26C3-49B4-9E1E-39AF27F5FA24}"/>
            </a:ext>
          </a:extLst>
        </xdr:cNvPr>
        <xdr:cNvSpPr/>
      </xdr:nvSpPr>
      <xdr:spPr>
        <a:xfrm>
          <a:off x="9220200" y="245533"/>
          <a:ext cx="1555750" cy="440690"/>
        </a:xfrm>
        <a:prstGeom prst="roundRect">
          <a:avLst/>
        </a:prstGeom>
        <a:solidFill>
          <a:srgbClr val="C0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1200" b="1">
              <a:solidFill>
                <a:schemeClr val="bg1"/>
              </a:solidFill>
            </a:rPr>
            <a:t>Generate PDF</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8</xdr:col>
      <xdr:colOff>34925</xdr:colOff>
      <xdr:row>3</xdr:row>
      <xdr:rowOff>9525</xdr:rowOff>
    </xdr:from>
    <xdr:to>
      <xdr:col>23</xdr:col>
      <xdr:colOff>92075</xdr:colOff>
      <xdr:row>26</xdr:row>
      <xdr:rowOff>174625</xdr:rowOff>
    </xdr:to>
    <xdr:graphicFrame macro="">
      <xdr:nvGraphicFramePr>
        <xdr:cNvPr id="2" name="Chart 1">
          <a:extLst>
            <a:ext uri="{FF2B5EF4-FFF2-40B4-BE49-F238E27FC236}">
              <a16:creationId xmlns:a16="http://schemas.microsoft.com/office/drawing/2014/main" id="{E720971E-7264-4DB5-9D2A-B93955CF145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3</xdr:col>
      <xdr:colOff>236220</xdr:colOff>
      <xdr:row>8</xdr:row>
      <xdr:rowOff>98425</xdr:rowOff>
    </xdr:from>
    <xdr:to>
      <xdr:col>7</xdr:col>
      <xdr:colOff>816387</xdr:colOff>
      <xdr:row>22</xdr:row>
      <xdr:rowOff>0</xdr:rowOff>
    </xdr:to>
    <xdr:graphicFrame macro="">
      <xdr:nvGraphicFramePr>
        <xdr:cNvPr id="10" name="Chart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219710</xdr:colOff>
      <xdr:row>1</xdr:row>
      <xdr:rowOff>104140</xdr:rowOff>
    </xdr:from>
    <xdr:to>
      <xdr:col>14</xdr:col>
      <xdr:colOff>46990</xdr:colOff>
      <xdr:row>3</xdr:row>
      <xdr:rowOff>158750</xdr:rowOff>
    </xdr:to>
    <xdr:sp macro="" textlink="">
      <xdr:nvSpPr>
        <xdr:cNvPr id="20" name="Rectangle: Rounded Corners 2">
          <a:hlinkClick xmlns:r="http://schemas.openxmlformats.org/officeDocument/2006/relationships" r:id="rId2"/>
          <a:extLst>
            <a:ext uri="{FF2B5EF4-FFF2-40B4-BE49-F238E27FC236}">
              <a16:creationId xmlns:a16="http://schemas.microsoft.com/office/drawing/2014/main" id="{00000000-0008-0000-0600-000003000000}"/>
            </a:ext>
          </a:extLst>
        </xdr:cNvPr>
        <xdr:cNvSpPr/>
      </xdr:nvSpPr>
      <xdr:spPr>
        <a:xfrm>
          <a:off x="9179560" y="104140"/>
          <a:ext cx="1694180" cy="422910"/>
        </a:xfrm>
        <a:prstGeom prst="roundRect">
          <a:avLst/>
        </a:prstGeom>
        <a:solidFill>
          <a:srgbClr val="C3A2E8"/>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1200" b="1">
              <a:solidFill>
                <a:sysClr val="windowText" lastClr="000000"/>
              </a:solidFill>
            </a:rPr>
            <a:t>Back to Dashboard</a:t>
          </a:r>
        </a:p>
      </xdr:txBody>
    </xdr:sp>
    <xdr:clientData/>
  </xdr:twoCellAnchor>
  <xdr:twoCellAnchor>
    <xdr:from>
      <xdr:col>3</xdr:col>
      <xdr:colOff>336550</xdr:colOff>
      <xdr:row>28</xdr:row>
      <xdr:rowOff>0</xdr:rowOff>
    </xdr:from>
    <xdr:to>
      <xdr:col>7</xdr:col>
      <xdr:colOff>881551</xdr:colOff>
      <xdr:row>41</xdr:row>
      <xdr:rowOff>106680</xdr:rowOff>
    </xdr:to>
    <xdr:graphicFrame macro="">
      <xdr:nvGraphicFramePr>
        <xdr:cNvPr id="12" name="Chart 1">
          <a:extLst>
            <a:ext uri="{FF2B5EF4-FFF2-40B4-BE49-F238E27FC236}">
              <a16:creationId xmlns:a16="http://schemas.microsoft.com/office/drawing/2014/main" id="{0C3242BF-E37A-46F9-994F-D4A1A3D4629C}"/>
            </a:ext>
            <a:ext uri="{147F2762-F138-4A5C-976F-8EAC2B608ADB}">
              <a16:predDERef xmlns:a16="http://schemas.microsoft.com/office/drawing/2014/main" pre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1065530</xdr:colOff>
      <xdr:row>47</xdr:row>
      <xdr:rowOff>166370</xdr:rowOff>
    </xdr:from>
    <xdr:to>
      <xdr:col>14</xdr:col>
      <xdr:colOff>77470</xdr:colOff>
      <xdr:row>63</xdr:row>
      <xdr:rowOff>151130</xdr:rowOff>
    </xdr:to>
    <xdr:graphicFrame macro="">
      <xdr:nvGraphicFramePr>
        <xdr:cNvPr id="5" name="Chart 4">
          <a:extLst>
            <a:ext uri="{FF2B5EF4-FFF2-40B4-BE49-F238E27FC236}">
              <a16:creationId xmlns:a16="http://schemas.microsoft.com/office/drawing/2014/main" id="{0EF5B15A-0360-4E80-BCFD-105E8617706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1088390</xdr:colOff>
      <xdr:row>68</xdr:row>
      <xdr:rowOff>53340</xdr:rowOff>
    </xdr:from>
    <xdr:to>
      <xdr:col>14</xdr:col>
      <xdr:colOff>97790</xdr:colOff>
      <xdr:row>83</xdr:row>
      <xdr:rowOff>60960</xdr:rowOff>
    </xdr:to>
    <xdr:graphicFrame macro="">
      <xdr:nvGraphicFramePr>
        <xdr:cNvPr id="7" name="Chart 6">
          <a:extLst>
            <a:ext uri="{FF2B5EF4-FFF2-40B4-BE49-F238E27FC236}">
              <a16:creationId xmlns:a16="http://schemas.microsoft.com/office/drawing/2014/main" id="{1A950629-0D5C-4687-B4B2-E524F215046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1081405</xdr:colOff>
      <xdr:row>27</xdr:row>
      <xdr:rowOff>161290</xdr:rowOff>
    </xdr:from>
    <xdr:to>
      <xdr:col>14</xdr:col>
      <xdr:colOff>167005</xdr:colOff>
      <xdr:row>42</xdr:row>
      <xdr:rowOff>76200</xdr:rowOff>
    </xdr:to>
    <xdr:graphicFrame macro="">
      <xdr:nvGraphicFramePr>
        <xdr:cNvPr id="6" name="Chart 5">
          <a:extLst>
            <a:ext uri="{FF2B5EF4-FFF2-40B4-BE49-F238E27FC236}">
              <a16:creationId xmlns:a16="http://schemas.microsoft.com/office/drawing/2014/main" id="{C256A324-2215-4EC0-BB90-9E44EBF9730C}"/>
            </a:ext>
            <a:ext uri="{147F2762-F138-4A5C-976F-8EAC2B608ADB}">
              <a16:predDERef xmlns:a16="http://schemas.microsoft.com/office/drawing/2014/main" pred="{1A950629-0D5C-4687-B4B2-E524F215046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1112520</xdr:colOff>
      <xdr:row>8</xdr:row>
      <xdr:rowOff>120650</xdr:rowOff>
    </xdr:from>
    <xdr:to>
      <xdr:col>14</xdr:col>
      <xdr:colOff>124460</xdr:colOff>
      <xdr:row>21</xdr:row>
      <xdr:rowOff>168910</xdr:rowOff>
    </xdr:to>
    <xdr:graphicFrame macro="">
      <xdr:nvGraphicFramePr>
        <xdr:cNvPr id="8" name="Chart 7">
          <a:extLst>
            <a:ext uri="{FF2B5EF4-FFF2-40B4-BE49-F238E27FC236}">
              <a16:creationId xmlns:a16="http://schemas.microsoft.com/office/drawing/2014/main" id="{DE7C31CF-07B1-4C34-8F91-AE023DE2BD0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105410</xdr:colOff>
      <xdr:row>67</xdr:row>
      <xdr:rowOff>177800</xdr:rowOff>
    </xdr:from>
    <xdr:to>
      <xdr:col>7</xdr:col>
      <xdr:colOff>1016000</xdr:colOff>
      <xdr:row>81</xdr:row>
      <xdr:rowOff>90000</xdr:rowOff>
    </xdr:to>
    <xdr:graphicFrame macro="">
      <xdr:nvGraphicFramePr>
        <xdr:cNvPr id="9" name="Chart 8">
          <a:extLst>
            <a:ext uri="{FF2B5EF4-FFF2-40B4-BE49-F238E27FC236}">
              <a16:creationId xmlns:a16="http://schemas.microsoft.com/office/drawing/2014/main" id="{EB1B4511-BB20-4290-9C32-EADE18999465}"/>
            </a:ext>
            <a:ext uri="{147F2762-F138-4A5C-976F-8EAC2B608ADB}">
              <a16:predDERef xmlns:a16="http://schemas.microsoft.com/office/drawing/2014/main" pred="{DE7C31CF-07B1-4C34-8F91-AE023DE2BD0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xdr:col>
      <xdr:colOff>105410</xdr:colOff>
      <xdr:row>47</xdr:row>
      <xdr:rowOff>177800</xdr:rowOff>
    </xdr:from>
    <xdr:to>
      <xdr:col>7</xdr:col>
      <xdr:colOff>817457</xdr:colOff>
      <xdr:row>60</xdr:row>
      <xdr:rowOff>172720</xdr:rowOff>
    </xdr:to>
    <xdr:graphicFrame macro="">
      <xdr:nvGraphicFramePr>
        <xdr:cNvPr id="21" name="Chart 20">
          <a:extLst>
            <a:ext uri="{FF2B5EF4-FFF2-40B4-BE49-F238E27FC236}">
              <a16:creationId xmlns:a16="http://schemas.microsoft.com/office/drawing/2014/main" id="{A17E4C51-89B6-45A6-9E06-FB553A41A92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198120</xdr:colOff>
      <xdr:row>4</xdr:row>
      <xdr:rowOff>168910</xdr:rowOff>
    </xdr:from>
    <xdr:to>
      <xdr:col>11</xdr:col>
      <xdr:colOff>0</xdr:colOff>
      <xdr:row>6</xdr:row>
      <xdr:rowOff>129540</xdr:rowOff>
    </xdr:to>
    <xdr:grpSp>
      <xdr:nvGrpSpPr>
        <xdr:cNvPr id="59" name="Group 28">
          <a:extLst>
            <a:ext uri="{FF2B5EF4-FFF2-40B4-BE49-F238E27FC236}">
              <a16:creationId xmlns:a16="http://schemas.microsoft.com/office/drawing/2014/main" id="{8203F8BA-B426-4C07-B5B4-F3F53101D92B}"/>
            </a:ext>
          </a:extLst>
        </xdr:cNvPr>
        <xdr:cNvGrpSpPr/>
      </xdr:nvGrpSpPr>
      <xdr:grpSpPr>
        <a:xfrm>
          <a:off x="826770" y="902335"/>
          <a:ext cx="9536430" cy="417830"/>
          <a:chOff x="525780" y="871220"/>
          <a:chExt cx="9375140" cy="439420"/>
        </a:xfrm>
      </xdr:grpSpPr>
      <xdr:sp macro="" textlink="">
        <xdr:nvSpPr>
          <xdr:cNvPr id="60" name="Rectangle: Rounded Corners 23">
            <a:hlinkClick xmlns:r="http://schemas.openxmlformats.org/officeDocument/2006/relationships" r:id="rId10"/>
            <a:extLst>
              <a:ext uri="{FF2B5EF4-FFF2-40B4-BE49-F238E27FC236}">
                <a16:creationId xmlns:a16="http://schemas.microsoft.com/office/drawing/2014/main" id="{F6895A53-0894-4557-9DC1-55F5AFE5E5B1}"/>
              </a:ext>
            </a:extLst>
          </xdr:cNvPr>
          <xdr:cNvSpPr/>
        </xdr:nvSpPr>
        <xdr:spPr>
          <a:xfrm>
            <a:off x="2429510" y="871220"/>
            <a:ext cx="1767840" cy="436880"/>
          </a:xfrm>
          <a:prstGeom prst="roundRect">
            <a:avLst/>
          </a:prstGeom>
          <a:solidFill>
            <a:schemeClr val="accent3">
              <a:lumMod val="40000"/>
              <a:lumOff val="60000"/>
            </a:schemeClr>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1200" b="1">
                <a:solidFill>
                  <a:sysClr val="windowText" lastClr="000000"/>
                </a:solidFill>
              </a:rPr>
              <a:t>Total Monthly Liabilities</a:t>
            </a:r>
          </a:p>
        </xdr:txBody>
      </xdr:sp>
      <xdr:sp macro="" textlink="">
        <xdr:nvSpPr>
          <xdr:cNvPr id="61" name="Rectangle: Rounded Corners 24">
            <a:hlinkClick xmlns:r="http://schemas.openxmlformats.org/officeDocument/2006/relationships" r:id="rId11"/>
            <a:extLst>
              <a:ext uri="{FF2B5EF4-FFF2-40B4-BE49-F238E27FC236}">
                <a16:creationId xmlns:a16="http://schemas.microsoft.com/office/drawing/2014/main" id="{C19B7946-40CC-407E-AD71-E99966E91819}"/>
              </a:ext>
            </a:extLst>
          </xdr:cNvPr>
          <xdr:cNvSpPr/>
        </xdr:nvSpPr>
        <xdr:spPr>
          <a:xfrm>
            <a:off x="4345940" y="878840"/>
            <a:ext cx="1762760" cy="431800"/>
          </a:xfrm>
          <a:prstGeom prst="roundRect">
            <a:avLst/>
          </a:prstGeom>
          <a:solidFill>
            <a:schemeClr val="accent5">
              <a:lumMod val="40000"/>
              <a:lumOff val="60000"/>
            </a:schemeClr>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1200" b="1">
                <a:solidFill>
                  <a:sysClr val="windowText" lastClr="000000"/>
                </a:solidFill>
              </a:rPr>
              <a:t>Total Monthly Expenses</a:t>
            </a:r>
          </a:p>
        </xdr:txBody>
      </xdr:sp>
      <xdr:sp macro="" textlink="">
        <xdr:nvSpPr>
          <xdr:cNvPr id="62" name="Rectangle: Rounded Corners 25">
            <a:hlinkClick xmlns:r="http://schemas.openxmlformats.org/officeDocument/2006/relationships" r:id="rId12"/>
            <a:extLst>
              <a:ext uri="{FF2B5EF4-FFF2-40B4-BE49-F238E27FC236}">
                <a16:creationId xmlns:a16="http://schemas.microsoft.com/office/drawing/2014/main" id="{7AB38015-C028-4838-9EB6-4EFBA1A43E42}"/>
              </a:ext>
            </a:extLst>
          </xdr:cNvPr>
          <xdr:cNvSpPr/>
        </xdr:nvSpPr>
        <xdr:spPr>
          <a:xfrm>
            <a:off x="6247130" y="878840"/>
            <a:ext cx="1762760" cy="431800"/>
          </a:xfrm>
          <a:prstGeom prst="roundRect">
            <a:avLst/>
          </a:prstGeom>
          <a:solidFill>
            <a:schemeClr val="accent6">
              <a:lumMod val="20000"/>
              <a:lumOff val="80000"/>
            </a:schemeClr>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1200" b="1">
                <a:solidFill>
                  <a:sysClr val="windowText" lastClr="000000"/>
                </a:solidFill>
              </a:rPr>
              <a:t>Total Monthly Loans</a:t>
            </a:r>
          </a:p>
        </xdr:txBody>
      </xdr:sp>
      <xdr:sp macro="" textlink="">
        <xdr:nvSpPr>
          <xdr:cNvPr id="63" name="Rectangle: Rounded Corners 26">
            <a:hlinkClick xmlns:r="http://schemas.openxmlformats.org/officeDocument/2006/relationships" r:id="rId13"/>
            <a:extLst>
              <a:ext uri="{FF2B5EF4-FFF2-40B4-BE49-F238E27FC236}">
                <a16:creationId xmlns:a16="http://schemas.microsoft.com/office/drawing/2014/main" id="{06EFD992-784F-460A-A5E2-5D92C501F3ED}"/>
              </a:ext>
            </a:extLst>
          </xdr:cNvPr>
          <xdr:cNvSpPr/>
        </xdr:nvSpPr>
        <xdr:spPr>
          <a:xfrm>
            <a:off x="8135620" y="881380"/>
            <a:ext cx="1765300" cy="429260"/>
          </a:xfrm>
          <a:prstGeom prst="roundRect">
            <a:avLst/>
          </a:prstGeom>
          <a:solidFill>
            <a:schemeClr val="accent4">
              <a:lumMod val="40000"/>
              <a:lumOff val="60000"/>
            </a:schemeClr>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1200" b="1">
                <a:solidFill>
                  <a:sysClr val="windowText" lastClr="000000"/>
                </a:solidFill>
              </a:rPr>
              <a:t>Net Worth</a:t>
            </a:r>
          </a:p>
        </xdr:txBody>
      </xdr:sp>
      <xdr:sp macro="" textlink="">
        <xdr:nvSpPr>
          <xdr:cNvPr id="64" name="Rectangle: Rounded Corners 27">
            <a:hlinkClick xmlns:r="http://schemas.openxmlformats.org/officeDocument/2006/relationships" r:id="rId14"/>
            <a:extLst>
              <a:ext uri="{FF2B5EF4-FFF2-40B4-BE49-F238E27FC236}">
                <a16:creationId xmlns:a16="http://schemas.microsoft.com/office/drawing/2014/main" id="{C45390F3-49CD-4C5C-8407-8AA8CB1D076C}"/>
              </a:ext>
            </a:extLst>
          </xdr:cNvPr>
          <xdr:cNvSpPr/>
        </xdr:nvSpPr>
        <xdr:spPr>
          <a:xfrm>
            <a:off x="525780" y="878840"/>
            <a:ext cx="1767840" cy="431800"/>
          </a:xfrm>
          <a:prstGeom prst="roundRect">
            <a:avLst/>
          </a:prstGeom>
          <a:solidFill>
            <a:srgbClr val="FAD3E9"/>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1200" b="1">
                <a:solidFill>
                  <a:sysClr val="windowText" lastClr="000000"/>
                </a:solidFill>
              </a:rPr>
              <a:t>Total Monthly Assets</a:t>
            </a:r>
          </a:p>
        </xdr:txBody>
      </xdr:sp>
    </xdr:grpSp>
    <xdr:clientData/>
  </xdr:twoCellAnchor>
  <xdr:twoCellAnchor>
    <xdr:from>
      <xdr:col>6</xdr:col>
      <xdr:colOff>178753</xdr:colOff>
      <xdr:row>104</xdr:row>
      <xdr:rowOff>164782</xdr:rowOff>
    </xdr:from>
    <xdr:to>
      <xdr:col>7</xdr:col>
      <xdr:colOff>460375</xdr:colOff>
      <xdr:row>107</xdr:row>
      <xdr:rowOff>88582</xdr:rowOff>
    </xdr:to>
    <xdr:sp macro="" textlink="">
      <xdr:nvSpPr>
        <xdr:cNvPr id="30" name="Rectangle: Rounded Corners 29">
          <a:hlinkClick xmlns:r="http://schemas.openxmlformats.org/officeDocument/2006/relationships" r:id="rId15"/>
          <a:extLst>
            <a:ext uri="{FF2B5EF4-FFF2-40B4-BE49-F238E27FC236}">
              <a16:creationId xmlns:a16="http://schemas.microsoft.com/office/drawing/2014/main" id="{338EC252-CFCB-4AD2-874C-B170E581D184}"/>
            </a:ext>
          </a:extLst>
        </xdr:cNvPr>
        <xdr:cNvSpPr/>
      </xdr:nvSpPr>
      <xdr:spPr>
        <a:xfrm>
          <a:off x="6528753" y="20500657"/>
          <a:ext cx="1019810" cy="471488"/>
        </a:xfrm>
        <a:prstGeom prst="roundRect">
          <a:avLst/>
        </a:prstGeom>
        <a:solidFill>
          <a:srgbClr val="8A69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1200">
              <a:solidFill>
                <a:schemeClr val="bg1"/>
              </a:solidFill>
            </a:rPr>
            <a:t>Back</a:t>
          </a:r>
          <a:r>
            <a:rPr lang="en-SG" sz="1200" baseline="0">
              <a:solidFill>
                <a:schemeClr val="bg1"/>
              </a:solidFill>
            </a:rPr>
            <a:t> </a:t>
          </a:r>
          <a:r>
            <a:rPr lang="en-SG" sz="1200">
              <a:solidFill>
                <a:schemeClr val="bg1"/>
              </a:solidFill>
            </a:rPr>
            <a:t>to Top</a:t>
          </a:r>
        </a:p>
      </xdr:txBody>
    </xdr:sp>
    <xdr:clientData/>
  </xdr:twoCellAnchor>
  <xdr:twoCellAnchor>
    <xdr:from>
      <xdr:col>14</xdr:col>
      <xdr:colOff>137160</xdr:colOff>
      <xdr:row>1</xdr:row>
      <xdr:rowOff>83820</xdr:rowOff>
    </xdr:from>
    <xdr:to>
      <xdr:col>16</xdr:col>
      <xdr:colOff>463550</xdr:colOff>
      <xdr:row>3</xdr:row>
      <xdr:rowOff>157480</xdr:rowOff>
    </xdr:to>
    <xdr:sp macro="[0]!CalculationsPDF" textlink="">
      <xdr:nvSpPr>
        <xdr:cNvPr id="22" name="Rectangle: Rounded Corners 21">
          <a:extLst>
            <a:ext uri="{FF2B5EF4-FFF2-40B4-BE49-F238E27FC236}">
              <a16:creationId xmlns:a16="http://schemas.microsoft.com/office/drawing/2014/main" id="{9DF7E5AB-B313-4596-AC6C-0D2B9C566DA9}"/>
            </a:ext>
          </a:extLst>
        </xdr:cNvPr>
        <xdr:cNvSpPr/>
      </xdr:nvSpPr>
      <xdr:spPr>
        <a:xfrm>
          <a:off x="12222480" y="266700"/>
          <a:ext cx="1560830" cy="439420"/>
        </a:xfrm>
        <a:prstGeom prst="roundRect">
          <a:avLst/>
        </a:prstGeom>
        <a:solidFill>
          <a:srgbClr val="C0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1200" b="1">
              <a:solidFill>
                <a:schemeClr val="bg1"/>
              </a:solidFill>
            </a:rPr>
            <a:t>Generate PDF</a:t>
          </a:r>
        </a:p>
      </xdr:txBody>
    </xdr:sp>
    <xdr:clientData/>
  </xdr:twoCellAnchor>
  <xdr:twoCellAnchor>
    <xdr:from>
      <xdr:col>6</xdr:col>
      <xdr:colOff>384969</xdr:colOff>
      <xdr:row>87</xdr:row>
      <xdr:rowOff>132556</xdr:rowOff>
    </xdr:from>
    <xdr:to>
      <xdr:col>11</xdr:col>
      <xdr:colOff>456406</xdr:colOff>
      <xdr:row>103</xdr:row>
      <xdr:rowOff>34131</xdr:rowOff>
    </xdr:to>
    <xdr:graphicFrame macro="">
      <xdr:nvGraphicFramePr>
        <xdr:cNvPr id="13" name="Chart 12">
          <a:extLst>
            <a:ext uri="{FF2B5EF4-FFF2-40B4-BE49-F238E27FC236}">
              <a16:creationId xmlns:a16="http://schemas.microsoft.com/office/drawing/2014/main" id="{5EB1BF21-C035-438D-9305-0FF45C073F6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11</xdr:col>
      <xdr:colOff>219710</xdr:colOff>
      <xdr:row>1</xdr:row>
      <xdr:rowOff>104140</xdr:rowOff>
    </xdr:from>
    <xdr:to>
      <xdr:col>14</xdr:col>
      <xdr:colOff>46990</xdr:colOff>
      <xdr:row>3</xdr:row>
      <xdr:rowOff>158750</xdr:rowOff>
    </xdr:to>
    <xdr:sp macro="" textlink="">
      <xdr:nvSpPr>
        <xdr:cNvPr id="6" name="Rectangle: Rounded Corners 2">
          <a:hlinkClick xmlns:r="http://schemas.openxmlformats.org/officeDocument/2006/relationships" r:id="rId1"/>
          <a:extLst>
            <a:ext uri="{FF2B5EF4-FFF2-40B4-BE49-F238E27FC236}">
              <a16:creationId xmlns:a16="http://schemas.microsoft.com/office/drawing/2014/main" id="{50DB7F31-CE57-4605-B0A8-3EC3F469464E}"/>
            </a:ext>
          </a:extLst>
        </xdr:cNvPr>
        <xdr:cNvSpPr/>
      </xdr:nvSpPr>
      <xdr:spPr>
        <a:xfrm>
          <a:off x="10436860" y="288290"/>
          <a:ext cx="1675130" cy="422910"/>
        </a:xfrm>
        <a:prstGeom prst="roundRect">
          <a:avLst/>
        </a:prstGeom>
        <a:solidFill>
          <a:srgbClr val="C3A2E8"/>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1200" b="1">
              <a:solidFill>
                <a:sysClr val="windowText" lastClr="000000"/>
              </a:solidFill>
            </a:rPr>
            <a:t>Back to Dashboard</a:t>
          </a:r>
        </a:p>
      </xdr:txBody>
    </xdr:sp>
    <xdr:clientData/>
  </xdr:twoCellAnchor>
  <xdr:twoCellAnchor>
    <xdr:from>
      <xdr:col>14</xdr:col>
      <xdr:colOff>149860</xdr:colOff>
      <xdr:row>1</xdr:row>
      <xdr:rowOff>96520</xdr:rowOff>
    </xdr:from>
    <xdr:to>
      <xdr:col>16</xdr:col>
      <xdr:colOff>495300</xdr:colOff>
      <xdr:row>3</xdr:row>
      <xdr:rowOff>170180</xdr:rowOff>
    </xdr:to>
    <xdr:sp macro="[0]!ForecastsPDF" textlink="">
      <xdr:nvSpPr>
        <xdr:cNvPr id="4" name="Rectangle: Rounded Corners 3">
          <a:extLst>
            <a:ext uri="{FF2B5EF4-FFF2-40B4-BE49-F238E27FC236}">
              <a16:creationId xmlns:a16="http://schemas.microsoft.com/office/drawing/2014/main" id="{BC5901F9-CB13-4E1B-AE7D-51944D1E0DBD}"/>
            </a:ext>
          </a:extLst>
        </xdr:cNvPr>
        <xdr:cNvSpPr/>
      </xdr:nvSpPr>
      <xdr:spPr>
        <a:xfrm>
          <a:off x="8745220" y="279400"/>
          <a:ext cx="1564640" cy="439420"/>
        </a:xfrm>
        <a:prstGeom prst="roundRect">
          <a:avLst/>
        </a:prstGeom>
        <a:solidFill>
          <a:srgbClr val="C0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1200" b="1">
              <a:solidFill>
                <a:schemeClr val="bg1"/>
              </a:solidFill>
            </a:rPr>
            <a:t>Generate PDF</a:t>
          </a:r>
        </a:p>
      </xdr:txBody>
    </xdr:sp>
    <xdr:clientData/>
  </xdr:twoCellAnchor>
  <xdr:twoCellAnchor>
    <xdr:from>
      <xdr:col>0</xdr:col>
      <xdr:colOff>546101</xdr:colOff>
      <xdr:row>7</xdr:row>
      <xdr:rowOff>76201</xdr:rowOff>
    </xdr:from>
    <xdr:to>
      <xdr:col>11</xdr:col>
      <xdr:colOff>353786</xdr:colOff>
      <xdr:row>24</xdr:row>
      <xdr:rowOff>28625</xdr:rowOff>
    </xdr:to>
    <xdr:graphicFrame macro="">
      <xdr:nvGraphicFramePr>
        <xdr:cNvPr id="8" name="Chart 7">
          <a:extLst>
            <a:ext uri="{FF2B5EF4-FFF2-40B4-BE49-F238E27FC236}">
              <a16:creationId xmlns:a16="http://schemas.microsoft.com/office/drawing/2014/main" id="{913342B3-C107-4FA0-BAFE-8668F70B09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42">
  <rv s="0">
    <v>en-US</v>
    <v>avyspr</v>
    <v>268435456</v>
    <v>1</v>
    <v>Powered by Refinitiv</v>
    <v>0</v>
    <v>USD/SGD</v>
    <v>2</v>
    <v>3</v>
    <v>Finance</v>
    <v>4</v>
    <v>1.3744000000000001</v>
    <v>1.3154999999999999</v>
    <v>0</v>
    <v>0</v>
    <v>SGD</v>
    <v>USD</v>
    <v>1.3554999999999999</v>
    <v>Currency Pair</v>
    <v>44570.750081018516</v>
    <v>1.3560000000000001</v>
    <v>US Dollar/Singapore Dollar FX Spot Rate</v>
    <v>1.3554999999999999</v>
    <v>1.3554999999999999</v>
    <v>1.3554999999999999</v>
    <v>USDSGD</v>
    <v>USD/SGD</v>
  </rv>
  <rv s="1">
    <v>0</v>
  </rv>
  <rv s="2">
    <v>https://www.bing.com/financeapi/forcetrigger?t=ao5l3m&amp;q=XLON%3aABC&amp;form=skydnc</v>
    <v>Learn more on Bing</v>
  </rv>
  <rv s="3">
    <v>en-US</v>
    <v>ao5l3m</v>
    <v>268435456</v>
    <v>1</v>
    <v>Powered by Refinitiv</v>
    <v>5</v>
    <v>ABCAM PLC (XLON:ABC)</v>
    <v>6</v>
    <v>7</v>
    <v>Finance</v>
    <v>8</v>
    <v>1760</v>
    <v>1234</v>
    <v>0.50360000000000005</v>
    <v>-23.33</v>
    <v>-1.4945999999999999E-2</v>
    <v>GBp</v>
    <v>Abcam plc is a global life sciences company. The Company is focused on identifying, developing and distributing reagents and tools which are required in the fields of life science research. The Company's product offering includes portfolio of antibodies and related protein research tools that are fundamental to its customers' research and experimental workflow. The Company's product type includes primary antibodies, secondary antibodies, biochemicals, isotype controls, flow cytometry multi-color selector, kits, loading controls, lysates, peptides, proteins, slides, tags and cell markers. The Company's products are used by researchers to study biological pathways, which is critical for scientific research, diagnostics and drug discovery. The Company serves scientists and researchers in academic institutions, research institutes and pharmaceutical, biotechnology and diagnostics companies.</v>
    <v>1500</v>
    <v>London Stock Exchange</v>
    <v>XLON</v>
    <v>XLON</v>
    <v>Discovery Drive, Cambridge Biomedical Campus, Hills Road, CAMBRIDGE, CAMBRIDGESHIRE, CB20AX GB</v>
    <v>1570</v>
    <v>Pharmaceuticals</v>
    <v>Stock</v>
    <v>44568.716516203705</v>
    <v>2</v>
    <v>1527</v>
    <v>3497342000</v>
    <v>ABCAM PLC</v>
    <v>ABCAM PLC</v>
    <v>1570</v>
    <v>214.12889999999999</v>
    <v>1561</v>
    <v>1528</v>
    <v>228883600</v>
    <v>ABC</v>
    <v>ABCAM PLC (XLON:ABC)</v>
    <v>172020</v>
    <v>1998</v>
  </rv>
  <rv s="1">
    <v>3</v>
  </rv>
  <rv s="2">
    <v>https://www.bing.com/financeapi/forcetrigger?t=af3y27&amp;q=XFRA%3aADS&amp;form=skydnc</v>
    <v>Learn more on Bing</v>
  </rv>
  <rv s="3">
    <v>en-US</v>
    <v>af3y27</v>
    <v>268435456</v>
    <v>1</v>
    <v>Powered by Refinitiv</v>
    <v>5</v>
    <v>Adidas AG (XFRA:ADS)</v>
    <v>6</v>
    <v>9</v>
    <v>Finance</v>
    <v>10</v>
    <v>335.05</v>
    <v>160.1</v>
    <v>0.6865</v>
    <v>-3.9</v>
    <v>-1.54E-2</v>
    <v>EUR</v>
    <v>Adidas AG is a Germany-based company that designs, develops, produces and markets a range of athletic and sports lifestyle products. The Company's segments include Europe, North America adidas, North America Reebok, Asia-Pacific, Russia/CIS, Latin America; Emerging Markets, adidas Golf, Runtastic and Other centrally managed business. Each segment includes wholesale, retail and e-commerce business activities relating to the distribution and sale of products of the adidas and Reebok brands to retail customers and end consumers. The Company has over 2,300 own-retail stores, over 14,000 mono-branded franchise stores and over 150,000 wholesale doors. The adidas and Reebok branded products include footwear, apparel and hardware, such as bags and balls.</v>
    <v>58007</v>
    <v>Deutsche Boerse AG</v>
    <v>XFRA</v>
    <v>XFRA</v>
    <v>Adi-Dassler-Strasse 1, HERZOGENAURACH, BAYERN, 91074 DE</v>
    <v>253</v>
    <v>Textiles &amp; Apparel</v>
    <v>Stock</v>
    <v>44568.878472222219</v>
    <v>5</v>
    <v>246.35</v>
    <v>47535140000</v>
    <v>Adidas AG</v>
    <v>Adidas AG</v>
    <v>252.75</v>
    <v>33.58</v>
    <v>253.25</v>
    <v>249.35</v>
    <v>192100000</v>
    <v>ADS</v>
    <v>Adidas AG (XFRA:ADS)</v>
    <v>1550</v>
    <v>1989</v>
  </rv>
  <rv s="1">
    <v>6</v>
  </rv>
  <rv s="2">
    <v>http://en.wikipedia.org/wiki/Public_domain</v>
    <v>Public domain</v>
  </rv>
  <rv s="2">
    <v>http://en.wikipedia.org/wiki/Alphabet_Inc.</v>
    <v>Wikipedia</v>
  </rv>
  <rv s="4">
    <v>8</v>
    <v>9</v>
  </rv>
  <rv s="5">
    <v>16</v>
    <v>https://www.bing.com/th?id=AMMS_91f59ff6c9305ce24b1cf0389cd856f8&amp;qlt=95</v>
    <v>10</v>
    <v>0</v>
    <v>https://www.bing.com/images/search?form=xlimg&amp;q=alphabet+inc.</v>
    <v>Image of ALPHABET INC.</v>
  </rv>
  <rv s="2">
    <v>https://www.bing.com/financeapi/forcetrigger?t=a1u3rw&amp;q=XNAS%3aGOOGL&amp;form=skydnc</v>
    <v>Learn more on Bing</v>
  </rv>
  <rv s="6">
    <v>en-US</v>
    <v>a1u3rw</v>
    <v>268435456</v>
    <v>1</v>
    <v>Powered by Refinitiv</v>
    <v>11</v>
    <v>ALPHABET INC. (XNAS:GOOGL)</v>
    <v>13</v>
    <v>14</v>
    <v>Finance</v>
    <v>15</v>
    <v>3019.33</v>
    <v>1711.71</v>
    <v>1.0699000000000001</v>
    <v>-14.61</v>
    <v>-4.8899999999999996E-4</v>
    <v>-5.3029999999999996E-3</v>
    <v>-1.34</v>
    <v>USD</v>
    <v>Alphabet Inc. is a holding company. The Company's segments include Google and Other Bets. The Company's Google segment includes Google Services and Google Cloud. Its Google Services products and platforms include Android, Chrome, Gmail, Google Drive, Google Maps, Google Photos, Google Play, Search, and YouTube. Its Google Cloud provides enterprise-ready cloud services, including Google Cloud Platform and Google Workspace. Its Google Cloud Platform enables developers to build, test, and deploy applications on its infrastructure. Its Google Workspace collaboration tools include applications like Gmail, Docs, Drive, Calendar, Meet. The Google segment is engaged in advertising, sales of digital content, applications and cloud offerings. Its hardware products include Pixel phones, Chromecast with Google TV and the Google Nest Hub smart display. The Other Bets segment is engaged in the sales of Internet and television services, licensing and research and development (R&amp;D) services.</v>
    <v>150028</v>
    <v>Nasdaq Stock Market</v>
    <v>XNAS</v>
    <v>XNAS</v>
    <v>1600 Amphitheatre Pkwy, MOUNTAIN VIEW, CA, 94043-1351 US</v>
    <v>2768.97</v>
    <v>11</v>
    <v>Software &amp; IT Services</v>
    <v>Stock</v>
    <v>44568.922285624998</v>
    <v>12</v>
    <v>2715.33</v>
    <v>1818860000000</v>
    <v>ALPHABET INC.</v>
    <v>ALPHABET INC.</v>
    <v>2762.91</v>
    <v>26.5425</v>
    <v>2754.95</v>
    <v>2740.34</v>
    <v>2739</v>
    <v>663764000</v>
    <v>GOOGL</v>
    <v>ALPHABET INC. (XNAS:GOOGL)</v>
    <v>1488028</v>
    <v>1470775</v>
    <v>2015</v>
  </rv>
  <rv s="1">
    <v>13</v>
  </rv>
  <rv s="2">
    <v>http://nl.wikipedia.org/wiki/Apple_Inc.</v>
    <v>Wikipedia</v>
  </rv>
  <rv s="4">
    <v>8</v>
    <v>15</v>
  </rv>
  <rv s="5">
    <v>16</v>
    <v>https://www.bing.com/th?id=AMMS_5bc8393c85a56e6bb6524ea7b3970bad&amp;qlt=95</v>
    <v>16</v>
    <v>0</v>
    <v>https://www.bing.com/images/search?form=xlimg&amp;q=apple+inc</v>
    <v>Image of APPLE INC.</v>
  </rv>
  <rv s="2">
    <v>https://www.bing.com/financeapi/forcetrigger?t=a1mou2&amp;q=XNAS%3aAAPL&amp;form=skydnc</v>
    <v>Learn more on Bing</v>
  </rv>
  <rv s="6">
    <v>en-US</v>
    <v>a1mou2</v>
    <v>268435456</v>
    <v>1</v>
    <v>Powered by Refinitiv</v>
    <v>11</v>
    <v>APPLE INC. (XNAS:AAPL)</v>
    <v>13</v>
    <v>14</v>
    <v>Finance</v>
    <v>15</v>
    <v>182.94</v>
    <v>116.21</v>
    <v>1.21</v>
    <v>0.17</v>
    <v>-5.8080000000000002E-4</v>
    <v>9.8839999999999996E-4</v>
    <v>-0.1</v>
    <v>USD</v>
    <v>Apple Inc. designs, manufactures and markets smartphones, personal computers, tablets, wearables and accessories, and sells a variety of related services. The Company’s products include iPhone, Mac, iPad, and Wearables, Home and Accessories. iPhone is the Company’s line of smartphones based on its iOS operating system. Mac is the Company’s line of personal computers based on its macOS operating system. iPad is the Company’s line of multi-purpose tablets based on its iPadOS operating system. Wearables, Home and Accessories includes AirPods, Apple TV, Apple Watch, Beats products, HomePod, iPod touch and other Apple-branded and third-party accessories. AirPods are the Company’s wireless headphones that interact with Siri. Apple Watch is the Company’s line of smart watches. Its services include Advertising, AppleCare, Cloud Services, Digital Content and Payment Services. Its customers are primarily in the consumer, small and mid-sized business, education, enterprise and government markets.</v>
    <v>154000</v>
    <v>Nasdaq Stock Market</v>
    <v>XNAS</v>
    <v>XNAS</v>
    <v>1 Apple Park Way, CUPERTINO, CA, 95014-0642 US</v>
    <v>174.14</v>
    <v>17</v>
    <v>Computers, Phones &amp; Household Electronics</v>
    <v>Stock</v>
    <v>44568.922289779686</v>
    <v>18</v>
    <v>171.03</v>
    <v>2812289000000</v>
    <v>APPLE INC.</v>
    <v>APPLE INC.</v>
    <v>172.89</v>
    <v>30.6752</v>
    <v>172</v>
    <v>172.17</v>
    <v>172.07</v>
    <v>16334370000</v>
    <v>AAPL</v>
    <v>APPLE INC. (XNAS:AAPL)</v>
    <v>86709147</v>
    <v>107546327</v>
    <v>1977</v>
  </rv>
  <rv s="1">
    <v>19</v>
  </rv>
  <rv s="2">
    <v>https://www.bing.com/financeapi/forcetrigger?t=a2caz2&amp;q=OTCM%3aCLCN&amp;form=skydnc</v>
    <v>Learn more on Bing</v>
  </rv>
  <rv s="3">
    <v>en-US</v>
    <v>a2caz2</v>
    <v>268435456</v>
    <v>1</v>
    <v>Powered by Refinitiv</v>
    <v>5</v>
    <v>CREATIVE LEARNING CORPORATION (OTCM:CLCN)</v>
    <v>6</v>
    <v>17</v>
    <v>Finance</v>
    <v>10</v>
    <v>0.33</v>
    <v>0.1201</v>
    <v>0.69820000000000004</v>
    <v>0</v>
    <v>0</v>
    <v>USD</v>
    <v>Creative Learning Corporation offers educational and enrichment programs to children ages 3 to 13+ through its franchisees. The Company, through its subsidiary BFK Franchise Company, LLC (BFK), conduct business under the trade name Bricks 4 Kidz, offer programs designed to teach principles and methods of engineering to children between the ages of 3 and 13 using its LEGO plastic bricks and other LEGO products. The Company, through its subsidiary SF Franchise Company, LLC (SF), offers a second franchise concept known as Sew Fun Studios. Sew Fun Studios is a mobile business operated by franchisees within a specific geographic territory offering creative project-based activities, classes, and programs in fashion and interior design and sewing to children and adults. The Company has approximately 496 Bricks 4 Kidz and Sew Fun Studios franchise territories, including 28 Bricks 4 Kidz master franchises and 141 Bricks 4 Kidz sub-franchises operating in approximately 40 countries.</v>
    <v>5</v>
    <v>OTC Markets</v>
    <v>OTCM</v>
    <v>OTCM</v>
    <v>701 Market St, ST AUGUSTINE, FL, 32095 US</v>
    <v>0.16500000000000001</v>
    <v>Miscellaneous Educational Service Providers</v>
    <v>Stock</v>
    <v>44561.048611111109</v>
    <v>21</v>
    <v>0.16</v>
    <v>2371650</v>
    <v>CREATIVE LEARNING CORPORATION</v>
    <v>CREATIVE LEARNING CORPORATION</v>
    <v>0.16500000000000001</v>
    <v>6.3491999999999997</v>
    <v>0.16</v>
    <v>0.16</v>
    <v>13175840</v>
    <v>CLCN</v>
    <v>CREATIVE LEARNING CORPORATION (OTCM:CLCN)</v>
    <v>25600</v>
    <v>2006</v>
  </rv>
  <rv s="1">
    <v>22</v>
  </rv>
  <rv s="2">
    <v>https://www.bing.com/financeapi/forcetrigger?t=a1retc&amp;q=XNYS%3aDELL&amp;form=skydnc</v>
    <v>Learn more on Bing</v>
  </rv>
  <rv s="7">
    <v>en-US</v>
    <v>a1retc</v>
    <v>268435456</v>
    <v>1</v>
    <v>Powered by Refinitiv</v>
    <v>18</v>
    <v>DELL TECHNOLOGIES INC. (XNYS:DELL)</v>
    <v>6</v>
    <v>19</v>
    <v>Finance</v>
    <v>15</v>
    <v>59.5</v>
    <v>35.557499999999997</v>
    <v>0.84860000000000002</v>
    <v>-0.05</v>
    <v>2.0690000000000001E-3</v>
    <v>-8.6150000000000007E-4</v>
    <v>0.12</v>
    <v>USD</v>
    <v>Dell Technologies Inc. is a provider of information technology solutions. The Company operates through segments, such as Infrastructure Solutions Group (ISG) and Client Solutions Group (CSG). The ISG segment enables the digital transformation of its customers through its multi-cloud and big data solutions, which are built upon a data center infrastructure. ISG solutions are built for multi-cloud environments and are enhanced to run cloud native workloads in both public and private clouds, as well as traditional on-premise workloads. The CSG segment includes hardware and peripherals, as well as third-party software and peripherals. CSG also offers attached software, peripherals, and services, including support and deployment, configuration, and extended warranty services. Its other businesses consist of product and service including Secureworks, Virtustream, and Boomi.</v>
    <v>158000</v>
    <v>New York Stock Exchange</v>
    <v>XNYS</v>
    <v>XNYS</v>
    <v>ONE DELL WAY, ROUND ROCK, TX, 78682 US</v>
    <v>58.47</v>
    <v>Computers, Phones &amp; Household Electronics</v>
    <v>Stock</v>
    <v>44568.881944444445</v>
    <v>24</v>
    <v>57.32</v>
    <v>44369090000</v>
    <v>DELL TECHNOLOGIES INC.</v>
    <v>DELL TECHNOLOGIES INC.</v>
    <v>58.1</v>
    <v>6.7100999999999997</v>
    <v>58.04</v>
    <v>57.99</v>
    <v>58.11</v>
    <v>765116100</v>
    <v>DELL</v>
    <v>DELL TECHNOLOGIES INC. (XNYS:DELL)</v>
    <v>3516191</v>
    <v>3880382</v>
    <v>2013</v>
  </rv>
  <rv s="1">
    <v>25</v>
  </rv>
  <rv s="2">
    <v>https://www.bing.com/financeapi/forcetrigger?t=a1ut3m&amp;q=XNAS%3aHON&amp;form=skydnc</v>
    <v>Learn more on Bing</v>
  </rv>
  <rv s="7">
    <v>en-US</v>
    <v>a1ut3m</v>
    <v>268435456</v>
    <v>1</v>
    <v>Powered by Refinitiv</v>
    <v>18</v>
    <v>HONEYWELL INTERNATIONAL INC. (XNAS:HON)</v>
    <v>6</v>
    <v>19</v>
    <v>Finance</v>
    <v>20</v>
    <v>236.86</v>
    <v>194.55</v>
    <v>1.1273</v>
    <v>4.93</v>
    <v>-1.6220000000000002E-3</v>
    <v>2.3385E-2</v>
    <v>-0.35</v>
    <v>USD</v>
    <v>Honeywell International Inc. is a technology and manufacturing company. The Company operates through four segments: Aerospace, Honeywell Building Technologies, Performance Materials and Technologies, and Safety and Productivity Solutions. The Company's Aerospace segment supplies products, software and services for aircraft and vehicles that it sells to original equipment manufacturers (OEMs) and other customers. The Honeywell Building Technologies segment provides products, software, solutions and technologies that helps building owners and occupants to ensure their facilities are safe, energy efficient, sustainable and productive. The Performance Materials and Technologies segment is engaged in developing and manufacturing performance chemicals and materials, process technologies and automation solutions. The Safety and Productivity Solutions segment is engaged in providing products and software to customers that manage productivity, workplace safety and asset performance.</v>
    <v>103000</v>
    <v>Nasdaq Stock Market</v>
    <v>XNAS</v>
    <v>XNAS</v>
    <v>855 S. Mint Street, CHARLOTTE, NC, 28202 US</v>
    <v>217.31</v>
    <v>Consumer Goods Conglomerates</v>
    <v>Stock</v>
    <v>44568.915286967189</v>
    <v>27</v>
    <v>211.57</v>
    <v>148953600000</v>
    <v>HONEYWELL INTERNATIONAL INC.</v>
    <v>HONEYWELL INTERNATIONAL INC.</v>
    <v>212.15</v>
    <v>27.119399999999999</v>
    <v>210.82</v>
    <v>215.75</v>
    <v>215.4</v>
    <v>690399300</v>
    <v>HON</v>
    <v>HONEYWELL INTERNATIONAL INC. (XNAS:HON)</v>
    <v>3056849</v>
    <v>3360376</v>
    <v>1999</v>
  </rv>
  <rv s="1">
    <v>28</v>
  </rv>
  <rv s="2">
    <v>https://www.bing.com/financeapi/forcetrigger?t=afejkr&amp;q=XFRA%3aLHL&amp;form=skydnc</v>
    <v>Learn more on Bing</v>
  </rv>
  <rv s="3">
    <v>en-US</v>
    <v>afejkr</v>
    <v>268435456</v>
    <v>1</v>
    <v>Powered by Refinitiv</v>
    <v>5</v>
    <v>Lenovo Group Limited (XFRA:LHL)</v>
    <v>6</v>
    <v>21</v>
    <v>Finance</v>
    <v>10</v>
    <v>1.2284999999999999</v>
    <v>0.36899999999999999</v>
    <v>1.1002000000000001</v>
    <v>4.4999999999999997E-3</v>
    <v>4.4619999999999998E-3</v>
    <v>EUR</v>
    <v>Lenovo Group Limited is an investment holding company principally engaged in personal computers and related businesses. The Company’s main products include Think-branded commercial personal computers and Idea-branded consumer personal computers, as well as servers, workstations and a family of mobile Internet devices, including tablets and smart phones. The Company operates its business through four geographical segments, including China, Asia Pacific (AP), Europe, the Middle East and Africa (EMEA) and Americas (AG). The Company also provides cloud service and other related services. The Company distributes its products in domestic market and to overseas markets.</v>
    <v>71500</v>
    <v>Deutsche Boerse AG</v>
    <v>XFRA</v>
    <v>XFRA</v>
    <v>No.10 Xibeiwang East Road, Haidian District, BEIJING, BEIJING, 100085 CN</v>
    <v>1.0295000000000001</v>
    <v>Computers, Phones &amp; Household Electronics</v>
    <v>Stock</v>
    <v>44568.878472222219</v>
    <v>30</v>
    <v>1.0129999999999999</v>
    <v>108134500000</v>
    <v>Lenovo Group Limited</v>
    <v>Lenovo Group Limited</v>
    <v>1.02</v>
    <v>8.3800000000000008</v>
    <v>1.0085</v>
    <v>1.0129999999999999</v>
    <v>12041710000</v>
    <v>LHL</v>
    <v>Lenovo Group Limited (XFRA:LHL)</v>
    <v>10430</v>
    <v>1993</v>
  </rv>
  <rv s="1">
    <v>31</v>
  </rv>
  <rv s="2">
    <v>https://en.wikipedia.org/wiki/Microsoft</v>
    <v>Wikipedia</v>
  </rv>
  <rv s="4">
    <v>8</v>
    <v>33</v>
  </rv>
  <rv s="5">
    <v>16</v>
    <v>https://www.bing.com/th?id=AMMS_1435b697418eae5bfbed034f46c28dc4&amp;qlt=95</v>
    <v>34</v>
    <v>0</v>
    <v>https://www.bing.com/images/search?form=xlimg&amp;q=microsoft</v>
    <v>Image of MICROSOFT CORPORATION</v>
  </rv>
  <rv s="2">
    <v>https://www.bing.com/financeapi/forcetrigger?t=a1xzim&amp;q=XNAS%3aMSFT&amp;form=skydnc</v>
    <v>Learn more on Bing</v>
  </rv>
  <rv s="6">
    <v>en-US</v>
    <v>a1xzim</v>
    <v>268435456</v>
    <v>1</v>
    <v>Powered by Refinitiv</v>
    <v>11</v>
    <v>MICROSOFT CORPORATION (XNAS:MSFT)</v>
    <v>13</v>
    <v>14</v>
    <v>Finance</v>
    <v>15</v>
    <v>349.67</v>
    <v>212.03</v>
    <v>0.87929999999999997</v>
    <v>0.16</v>
    <v>-4.7759999999999995E-4</v>
    <v>5.0969999999999998E-4</v>
    <v>-0.15</v>
    <v>USD</v>
    <v>Microsoft Corporation is a technology company. The Company develops and supports a range of software products, services, devices, and solutions. The Company's segments include Productivity and Business Processes, Intelligent Cloud, and More Personal Computing. The Company's products include operating systems; cross-device productivity applications; server applications; business solution applications; desktop and server management tools; software development tools; and video games. It also designs, manufactures, and sells devices, including personal computers (PCs), tablets, gaming and entertainment consoles, other intelligent devices, and related accessories. It offers an array of services, including cloud-based solutions that provide customers with software, services, platforms, and content, and it provides solution support and consulting services. It markets and distributes its products and services through original equipment manufacturers, direct, and distributors and resellers.</v>
    <v>181000</v>
    <v>Nasdaq Stock Market</v>
    <v>XNAS</v>
    <v>XNAS</v>
    <v>1 Microsoft Way, REDMOND, WA, 98052-6399 US</v>
    <v>316.5</v>
    <v>35</v>
    <v>Software &amp; IT Services</v>
    <v>Stock</v>
    <v>44568.929070543752</v>
    <v>36</v>
    <v>310.08999999999997</v>
    <v>2357806000000</v>
    <v>MICROSOFT CORPORATION</v>
    <v>MICROSOFT CORPORATION</v>
    <v>314.14999999999998</v>
    <v>35.087299999999999</v>
    <v>313.88</v>
    <v>314.04000000000002</v>
    <v>313.89</v>
    <v>7507980000</v>
    <v>MSFT</v>
    <v>MICROSOFT CORPORATION (XNAS:MSFT)</v>
    <v>32720018</v>
    <v>29354535</v>
    <v>1993</v>
  </rv>
  <rv s="1">
    <v>37</v>
  </rv>
  <rv s="2">
    <v>https://www.bing.com/financeapi/forcetrigger?t=a1wljc&amp;q=XNYS%3aKO&amp;form=skydnc</v>
    <v>Learn more on Bing</v>
  </rv>
  <rv s="7">
    <v>en-US</v>
    <v>a1wljc</v>
    <v>268435456</v>
    <v>1</v>
    <v>Powered by Refinitiv</v>
    <v>18</v>
    <v>THE COCA-COLA COMPANY (XNYS:KO)</v>
    <v>6</v>
    <v>19</v>
    <v>Finance</v>
    <v>15</v>
    <v>61.195</v>
    <v>48.11</v>
    <v>0.70450000000000002</v>
    <v>-0.14000000000000001</v>
    <v>0</v>
    <v>-2.3150000000000002E-3</v>
    <v>0</v>
    <v>USD</v>
    <v>The Coca-Cola Company is a beverage company. The Company owns or licenses and markets non-alcoholic beverage brands, primarily sparkling soft drinks; water, enhanced water and sports drinks; juice, dairy and plant-based beverages; tea and coffee; and energy drinks. The Company's segments include Europe, Middle East and Africa; Latin America; North America; Asia Pacific; Global Ventures; Bottling Investments, and Corporate. The Company markets, manufactures and sells beverage concentrates (beverage bases) and syrups, including fountain syrups and finished sparkling soft drinks and other nonalcoholic beverages. It owns and markets a range of non-alcoholic sparkling soft drink brands, including Coca-Cola, Diet Coke, Fanta and Sprite. The Company's branded beverage products are available to consumers in more than 200 countries and territories through its network of independent bottling partners, distributors, wholesalers and retailers as well as its bottling and distribution operations.</v>
    <v>80300</v>
    <v>New York Stock Exchange</v>
    <v>XNYS</v>
    <v>XNYS</v>
    <v>1 Coca Cola Plz NW, ATLANTA, GA, 30313-2420 US</v>
    <v>60.72</v>
    <v>Beverages</v>
    <v>Stock</v>
    <v>44568.898753738278</v>
    <v>39</v>
    <v>60.06</v>
    <v>260590600000</v>
    <v>THE COCA-COLA COMPANY</v>
    <v>THE COCA-COLA COMPANY</v>
    <v>60.274999999999999</v>
    <v>29.752099999999999</v>
    <v>60.47</v>
    <v>60.33</v>
    <v>60.33</v>
    <v>4319420000</v>
    <v>KO</v>
    <v>THE COCA-COLA COMPANY (XNYS:KO)</v>
    <v>12307896</v>
    <v>19793424</v>
    <v>1919</v>
  </rv>
  <rv s="1">
    <v>40</v>
  </rv>
</rvData>
</file>

<file path=xl/richData/rdrichvaluestructure.xml><?xml version="1.0" encoding="utf-8"?>
<rvStructures xmlns="http://schemas.microsoft.com/office/spreadsheetml/2017/richdata" count="8">
  <s t="_linkedentitycore">
    <k n="%EntityCulture" t="s"/>
    <k n="%EntityId" t="s"/>
    <k n="%EntityServiceId"/>
    <k n="%IsRefreshable" t="b"/>
    <k n="%ProviderInfo" t="s"/>
    <k n="_Display" t="spb"/>
    <k n="_DisplayString" t="s"/>
    <k n="_Flags" t="spb"/>
    <k n="_Format" t="spb"/>
    <k n="_Icon" t="s"/>
    <k n="_SubLabel" t="spb"/>
    <k n="52 week high"/>
    <k n="52 week low"/>
    <k n="Change"/>
    <k n="Change (%)"/>
    <k n="Currency" t="s"/>
    <k n="From currency" t="s"/>
    <k n="High"/>
    <k n="Instrument type" t="s"/>
    <k n="Last trade time"/>
    <k n="Low"/>
    <k n="Name" t="s"/>
    <k n="Open"/>
    <k n="Previous close"/>
    <k n="Price"/>
    <k n="Ticker symbol" t="s"/>
    <k n="UniqueName" t="s"/>
  </s>
  <s t="_linkedentity">
    <k n="%cvi" t="r"/>
  </s>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Year incorporated"/>
  </s>
  <s t="_sourceattribution">
    <k n="License" t="r"/>
    <k n="Source" t="r"/>
  </s>
  <s t="_imageurl">
    <k n="_Provider" t="spb"/>
    <k n="Address" t="s"/>
    <k n="Attribution" t="r"/>
    <k n="ComputedImage" t="b"/>
    <k n="More Images 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rvStructures>
</file>

<file path=xl/richData/rdsupportingpropertybag.xml><?xml version="1.0" encoding="utf-8"?>
<supportingPropertyBags xmlns="http://schemas.microsoft.com/office/spreadsheetml/2017/richdata2">
  <spbArrays count="4">
    <a count="27">
      <v t="s">%EntityServiceId</v>
      <v t="s">_Format</v>
      <v t="s">%IsRefreshable</v>
      <v t="s">%EntityCulture</v>
      <v t="s">%EntityId</v>
      <v t="s">_Icon</v>
      <v t="s">_Display</v>
      <v t="s">Name</v>
      <v t="s">Price</v>
      <v t="s">_SubLabel</v>
      <v t="s">Last trade time</v>
      <v t="s">Ticker symbol</v>
      <v t="s">Change</v>
      <v t="s">Change (%)</v>
      <v t="s">Currency</v>
      <v t="s">From currency</v>
      <v t="s">Previous close</v>
      <v t="s">Open</v>
      <v t="s">High</v>
      <v t="s">Low</v>
      <v t="s">52 week high</v>
      <v t="s">52 week low</v>
      <v t="s">Instrument type</v>
      <v t="s">_Flags</v>
      <v t="s">UniqueName</v>
      <v t="s">_DisplayString</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6">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spbArrays>
  <spbData count="22">
    <spb s="0">
      <v>0</v>
      <v>Name</v>
    </spb>
    <spb s="1">
      <v>0</v>
      <v>0</v>
      <v>0</v>
    </spb>
    <spb s="2">
      <v>1</v>
      <v>1</v>
    </spb>
    <spb s="3">
      <v>1</v>
      <v>1</v>
      <v>2</v>
      <v>1</v>
      <v>1</v>
      <v>1</v>
      <v>3</v>
      <v>1</v>
      <v>1</v>
      <v>1</v>
      <v>4</v>
      <v>5</v>
    </spb>
    <spb s="4">
      <v>GMT</v>
    </spb>
    <spb s="5">
      <v>1</v>
      <v>Name</v>
      <v>LearnMoreOnLink</v>
    </spb>
    <spb s="6">
      <v>1</v>
      <v>1</v>
      <v>1</v>
      <v>1</v>
    </spb>
    <spb s="7">
      <v>6</v>
      <v>7</v>
      <v>7</v>
      <v>6</v>
      <v>2</v>
      <v>6</v>
      <v>6</v>
      <v>6</v>
      <v>8</v>
      <v>8</v>
      <v>3</v>
      <v>9</v>
      <v>6</v>
      <v>6</v>
      <v>6</v>
      <v>4</v>
      <v>10</v>
      <v>5</v>
      <v>8</v>
    </spb>
    <spb s="8">
      <v>Delayed 15 minutes</v>
      <v>from previous close</v>
      <v>from previous close</v>
      <v>LSE</v>
      <v>GMT</v>
    </spb>
    <spb s="7">
      <v>11</v>
      <v>7</v>
      <v>7</v>
      <v>11</v>
      <v>2</v>
      <v>11</v>
      <v>11</v>
      <v>11</v>
      <v>8</v>
      <v>8</v>
      <v>3</v>
      <v>12</v>
      <v>11</v>
      <v>11</v>
      <v>11</v>
      <v>4</v>
      <v>10</v>
      <v>5</v>
      <v>8</v>
    </spb>
    <spb s="9">
      <v>Delayed 15 minutes</v>
      <v>from previous close</v>
      <v>from previous close</v>
      <v>GMT</v>
    </spb>
    <spb s="5">
      <v>2</v>
      <v>Name</v>
      <v>LearnMoreOnLink</v>
    </spb>
    <spb s="10">
      <v>0</v>
      <v>0</v>
    </spb>
    <spb s="11">
      <v>12</v>
      <v>1</v>
      <v>1</v>
      <v>1</v>
      <v>1</v>
    </spb>
    <spb s="12">
      <v>13</v>
      <v>7</v>
      <v>7</v>
      <v>13</v>
      <v>2</v>
      <v>13</v>
      <v>14</v>
      <v>13</v>
      <v>13</v>
      <v>8</v>
      <v>8</v>
      <v>3</v>
      <v>15</v>
      <v>13</v>
      <v>13</v>
      <v>13</v>
      <v>8</v>
      <v>4</v>
      <v>10</v>
      <v>5</v>
      <v>8</v>
      <v>13</v>
      <v>13</v>
      <v>3</v>
    </spb>
    <spb s="13">
      <v>at close</v>
      <v>from previous close</v>
      <v>from previous close</v>
      <v>Source: Nasdaq</v>
      <v>GMT</v>
      <v>Delayed 15 minutes</v>
      <v>from close</v>
      <v>from close</v>
    </spb>
    <spb s="14">
      <v>Powered by Refinitiv</v>
    </spb>
    <spb s="7">
      <v>13</v>
      <v>7</v>
      <v>7</v>
      <v>13</v>
      <v>2</v>
      <v>13</v>
      <v>13</v>
      <v>13</v>
      <v>8</v>
      <v>8</v>
      <v>3</v>
      <v>15</v>
      <v>13</v>
      <v>13</v>
      <v>13</v>
      <v>4</v>
      <v>10</v>
      <v>5</v>
      <v>8</v>
    </spb>
    <spb s="5">
      <v>3</v>
      <v>Name</v>
      <v>LearnMoreOnLink</v>
    </spb>
    <spb s="15">
      <v>13</v>
      <v>7</v>
      <v>7</v>
      <v>13</v>
      <v>2</v>
      <v>13</v>
      <v>13</v>
      <v>13</v>
      <v>8</v>
      <v>8</v>
      <v>3</v>
      <v>15</v>
      <v>13</v>
      <v>13</v>
      <v>13</v>
      <v>8</v>
      <v>4</v>
      <v>10</v>
      <v>5</v>
      <v>8</v>
      <v>13</v>
      <v>13</v>
      <v>3</v>
    </spb>
    <spb s="13">
      <v>at close</v>
      <v>from previous close</v>
      <v>from previous close</v>
      <v>Source: Nasdaq Last Sale</v>
      <v>GMT</v>
      <v>Real-Time Nasdaq Last Sale</v>
      <v>from close</v>
      <v>from close</v>
    </spb>
    <spb s="7">
      <v>11</v>
      <v>7</v>
      <v>7</v>
      <v>11</v>
      <v>2</v>
      <v>11</v>
      <v>11</v>
      <v>11</v>
      <v>8</v>
      <v>8</v>
      <v>3</v>
      <v>16</v>
      <v>11</v>
      <v>11</v>
      <v>11</v>
      <v>4</v>
      <v>10</v>
      <v>5</v>
      <v>8</v>
    </spb>
  </spbData>
</supportingPropertyBags>
</file>

<file path=xl/richData/rdsupportingpropertybagstructure.xml><?xml version="1.0" encoding="utf-8"?>
<spbStructures xmlns="http://schemas.microsoft.com/office/spreadsheetml/2017/richdata2" count="16">
  <s>
    <k n="^Order" t="spba"/>
    <k n="TitleProperty" t="s"/>
  </s>
  <s>
    <k n="ShowInCardView" t="b"/>
    <k n="ShowInDotNotation" t="b"/>
    <k n="ShowInAutoComplete" t="b"/>
  </s>
  <s>
    <k n="UniqueName" t="spb"/>
    <k n="`%ProviderInfo" t="spb"/>
  </s>
  <s>
    <k n="Low" t="i"/>
    <k n="High" t="i"/>
    <k n="Name" t="i"/>
    <k n="Open" t="i"/>
    <k n="Price" t="i"/>
    <k n="Change" t="i"/>
    <k n="Change (%)" t="i"/>
    <k n="52 week low" t="i"/>
    <k n="52 week high" t="i"/>
    <k n="Previous close" t="i"/>
    <k n="Last trade time" t="i"/>
    <k n="`%EntityServiceId" t="i"/>
  </s>
  <s>
    <k n="Last trade time" t="s"/>
  </s>
  <s>
    <k n="^Order" t="spba"/>
    <k n="TitleProperty" t="s"/>
    <k n="SubTitleProperty" t="s"/>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Last trade time" t="i"/>
    <k n="Year incorporated" t="i"/>
    <k n="`%EntityServiceId" t="i"/>
    <k n="Shares outstanding" t="i"/>
  </s>
  <s>
    <k n="Price" t="s"/>
    <k n="Change" t="s"/>
    <k n="Change (%)" t="s"/>
    <k n="ExchangeID" t="s"/>
    <k n="Last trade time" t="s"/>
  </s>
  <s>
    <k n="Price" t="s"/>
    <k n="Change" t="s"/>
    <k n="Change (%)" t="s"/>
    <k n="Last trade time" t="s"/>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name" t="s"/>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4">
    <x:dxf>
      <x:numFmt numFmtId="171" formatCode="_([$$-409]* #,##0.00_);_([$$-409]* \(#,##0.00\);_([$$-409]* &quot;-&quot;??_);_(@_)"/>
    </x:dxf>
    <x:dxf>
      <x:numFmt numFmtId="4" formatCode="#,##0.00"/>
    </x:dxf>
    <x:dxf>
      <x:numFmt numFmtId="3" formatCode="#,##0"/>
    </x:dxf>
    <x:dxf>
      <x:numFmt numFmtId="14" formatCode="0.00%"/>
    </x:dxf>
    <x:dxf>
      <x:numFmt numFmtId="170" formatCode="_([$$-409]* #,##0_);_([$$-409]* \(#,##0\);_([$$-409]* &quot;-&quot;_);_(@_)"/>
    </x:dxf>
    <x:dxf>
      <x:numFmt numFmtId="1" formatCode="0"/>
    </x:dxf>
    <x:dxf>
      <x:numFmt numFmtId="2" formatCode="0.00"/>
    </x:dxf>
    <x:dxf>
      <x:numFmt numFmtId="27" formatCode="d/m/yyyy\ h:mm"/>
    </x:dxf>
    <x:dxf>
      <x:numFmt numFmtId="169" formatCode="_-[$£-809]* #,##0_-;\-[$£-809]* #,##0_-;_-[$£-809]* &quot;-&quot;_-;_-@_-"/>
    </x:dxf>
    <x:dxf>
      <x:numFmt numFmtId="168" formatCode="_([$€-2]\ * #,##0.00_);_([$€-2]\ * \(#,##0.00\);_([$€-2]\ * &quot;-&quot;??_);_(@_)"/>
    </x:dxf>
    <x:dxf>
      <x:numFmt numFmtId="167" formatCode="_-[$$-3C09]* #,##0_-;\-[$$-3C09]* #,##0_-;_-[$$-3C09]* &quot;-&quot;_-;_-@_-"/>
    </x:dxf>
    <x:dxf>
      <x:numFmt numFmtId="166" formatCode="_([$€-2]\ * #,##0_);_([$€-2]\ * \(#,##0\);_([$€-2]\ * &quot;-&quot;_);_(@_)"/>
    </x:dxf>
    <x:dxf>
      <x:numFmt numFmtId="165" formatCode="_(* #,##0.00_);_(* \(#,##0.00\);_(* &quot;-&quot;??_);_(@_)"/>
    </x:dxf>
    <x:dxf>
      <x:numFmt numFmtId="164" formatCode="_-[$$-4809]* #,##0.00_-;\-[$$-4809]* #,##0.00_-;_-[$$-4809]* &quot;-&quot;??_-;_-@_-"/>
    </x:dxf>
  </dxfs>
  <richProperties>
    <rPr n="IsTitleField" t="b"/>
    <rPr n="IsHeroField" t="b"/>
  </richProperties>
  <richStyles>
    <rSty dxfid="13"/>
    <rSty>
      <rpv i="0">1</rpv>
    </rSty>
    <rSty dxfid="3"/>
    <rSty dxfid="7"/>
    <rSty dxfid="6"/>
    <rSty dxfid="12"/>
    <rSty dxfid="1"/>
    <rSty dxfid="2"/>
    <rSty dxfid="8"/>
    <rSty dxfid="5"/>
    <rSty dxfid="9"/>
    <rSty dxfid="11"/>
    <rSty dxfid="0"/>
    <rSty>
      <rpv i="1">1</rpv>
    </rSty>
    <rSty dxfid="4"/>
    <rSty dxfid="10"/>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278FBAC-6578-40D7-BC7B-5202BB44ABFE}" name="Table1" displayName="Table1" ref="C7:D8" totalsRowShown="0" headerRowDxfId="82" dataDxfId="81">
  <autoFilter ref="C7:D8" xr:uid="{A278FBAC-6578-40D7-BC7B-5202BB44ABFE}">
    <filterColumn colId="0" hiddenButton="1"/>
    <filterColumn colId="1" hiddenButton="1"/>
  </autoFilter>
  <tableColumns count="2">
    <tableColumn id="1" xr3:uid="{A72F6BFC-8979-4734-9783-3FB276FBA737}" name="SALARY" dataDxfId="80"/>
    <tableColumn id="2" xr3:uid="{9F98ACD6-1078-46EF-BE19-346A0990C3B8}" name="VALUE" dataDxfId="79"/>
  </tableColumns>
  <tableStyleInfo name="TableStyleLight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A9545D6-34E6-4345-A196-B031C733120F}" name="Table2" displayName="Table2" ref="F7:G9" totalsRowShown="0" headerRowDxfId="78" dataDxfId="77">
  <autoFilter ref="F7:G9" xr:uid="{AA9545D6-34E6-4345-A196-B031C733120F}">
    <filterColumn colId="0" hiddenButton="1"/>
    <filterColumn colId="1" hiddenButton="1"/>
  </autoFilter>
  <tableColumns count="2">
    <tableColumn id="1" xr3:uid="{6CD76BBF-E4DB-4ED9-B066-0723DE25AD9B}" name="SUBSIDY" dataDxfId="76"/>
    <tableColumn id="2" xr3:uid="{9043B370-C72C-4D2F-8015-C47BFC4BD147}" name="VALUE" dataDxfId="75"/>
  </tableColumns>
  <tableStyleInfo name="TableStyleLight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9E9A343-5084-4100-AF8F-09A69ADD6556}" name="Table4" displayName="Table4" ref="I7:J9" totalsRowShown="0" headerRowDxfId="74" dataDxfId="73">
  <autoFilter ref="I7:J9" xr:uid="{F9E9A343-5084-4100-AF8F-09A69ADD6556}">
    <filterColumn colId="0" hiddenButton="1"/>
    <filterColumn colId="1" hiddenButton="1"/>
  </autoFilter>
  <tableColumns count="2">
    <tableColumn id="1" xr3:uid="{91F4CB39-202E-478A-9FF8-D6CA2B0B87A0}" name="INVESTMENTS" dataDxfId="72"/>
    <tableColumn id="2" xr3:uid="{F0300401-6BE5-4876-9352-6779F2A253AB}" name="VALUE" dataDxfId="71"/>
  </tableColumns>
  <tableStyleInfo name="TableStyleLight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D178786-B250-4141-AA4B-EC2178682E16}" name="Table6" displayName="Table6" ref="L7:M9" totalsRowShown="0" headerRowDxfId="70" dataDxfId="69">
  <autoFilter ref="L7:M9" xr:uid="{9D178786-B250-4141-AA4B-EC2178682E16}">
    <filterColumn colId="0" hiddenButton="1"/>
    <filterColumn colId="1" hiddenButton="1"/>
  </autoFilter>
  <tableColumns count="2">
    <tableColumn id="1" xr3:uid="{EDB10D3A-9EB5-447A-AF09-DFD999E889AB}" name="OTHERS" dataDxfId="68"/>
    <tableColumn id="2" xr3:uid="{A1F9FB49-1D46-4AAC-96AA-7D952F23AFE7}" name="VALUE" dataDxfId="67"/>
  </tableColumns>
  <tableStyleInfo name="TableStyleLight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DFA5D7F9-3A65-467A-A7FD-5948C8525982}" name="Table179" displayName="Table179" ref="C11:D13" headerRowDxfId="66" dataDxfId="65" totalsRowDxfId="64">
  <autoFilter ref="C11:D13" xr:uid="{DFA5D7F9-3A65-467A-A7FD-5948C8525982}">
    <filterColumn colId="0" hiddenButton="1"/>
    <filterColumn colId="1" hiddenButton="1"/>
  </autoFilter>
  <tableColumns count="2">
    <tableColumn id="1" xr3:uid="{74866ADF-CC6F-4E2A-A7EB-6BF11498FDBD}" name="HOUSEHOLD EXPENSES" totalsRowLabel="SUBTOTAL" dataDxfId="62" totalsRowDxfId="63"/>
    <tableColumn id="2" xr3:uid="{BE7F1A5D-B95B-4E9F-A040-8F37394E268F}" name="VALUE" totalsRowFunction="custom" dataDxfId="60" totalsRowDxfId="61">
      <totalsRowFormula>SUM(INDIRECT("C12:C"&amp;ROW()-1))</totalsRowFormula>
    </tableColumn>
  </tableColumns>
  <tableStyleInfo name="TableStyleLight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EA87F98E-467E-4EC2-A499-873BF6C85D0D}" name="Table17910" displayName="Table17910" ref="F11:G13" totalsRowShown="0" headerRowDxfId="59" dataDxfId="58">
  <autoFilter ref="F11:G13" xr:uid="{EA87F98E-467E-4EC2-A499-873BF6C85D0D}">
    <filterColumn colId="0" hiddenButton="1"/>
    <filterColumn colId="1" hiddenButton="1"/>
  </autoFilter>
  <tableColumns count="2">
    <tableColumn id="1" xr3:uid="{3E7FFCDF-F063-4CED-B4EC-4B49FCE0FF5E}" name="UTILITIES EXPENSES" dataDxfId="57"/>
    <tableColumn id="2" xr3:uid="{81A3A9CB-4B32-4FF7-AFBC-14BCF535F9CC}" name="VALUE" dataDxfId="56"/>
  </tableColumns>
  <tableStyleInfo name="TableStyleLight3"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B527E6E-A42F-4620-9954-65C772F50A5F}" name="Table1710" displayName="Table1710" ref="I11:J12" totalsRowShown="0" headerRowDxfId="55" dataDxfId="54">
  <autoFilter ref="I11:J12" xr:uid="{7B527E6E-A42F-4620-9954-65C772F50A5F}">
    <filterColumn colId="0" hiddenButton="1"/>
    <filterColumn colId="1" hiddenButton="1"/>
  </autoFilter>
  <tableColumns count="2">
    <tableColumn id="1" xr3:uid="{0A574827-30BE-48A4-A3DE-B61FC8296D9E}" name="RENTAL EXPENSES" dataDxfId="53"/>
    <tableColumn id="2" xr3:uid="{A847CF9B-CC76-491D-989F-BBD476C083E2}" name="VALUE" dataDxfId="52"/>
  </tableColumns>
  <tableStyleInfo name="TableStyleLight3"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E4B9D9B4-3793-43DA-9AF3-1FA64685D2CE}" name="Table1712" displayName="Table1712" ref="O11:P12" totalsRowShown="0" headerRowDxfId="51" dataDxfId="50">
  <autoFilter ref="O11:P12" xr:uid="{E4B9D9B4-3793-43DA-9AF3-1FA64685D2CE}">
    <filterColumn colId="0" hiddenButton="1"/>
    <filterColumn colId="1" hiddenButton="1"/>
  </autoFilter>
  <tableColumns count="2">
    <tableColumn id="1" xr3:uid="{13F8CE45-D312-4CFF-AB81-34079B12D661}" name="BANK LOANS" dataDxfId="49"/>
    <tableColumn id="2" xr3:uid="{DC30CA25-C4C2-400E-94D0-24FE7CC19A5C}" name="VALUE" dataDxfId="48"/>
  </tableColumns>
  <tableStyleInfo name="TableStyleLight3"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E0DB485-E17C-40B5-B8C1-340A25DE6510}" name="Table171213" displayName="Table171213" ref="L11:M12" totalsRowShown="0" headerRowDxfId="47" dataDxfId="46">
  <autoFilter ref="L11:M12" xr:uid="{9E0DB485-E17C-40B5-B8C1-340A25DE6510}">
    <filterColumn colId="0" hiddenButton="1"/>
    <filterColumn colId="1" hiddenButton="1"/>
  </autoFilter>
  <tableColumns count="2">
    <tableColumn id="1" xr3:uid="{4DB3A526-AF30-4BD4-B931-B36DE3BA1FC4}" name="MORTGAGE LOANS" dataDxfId="45"/>
    <tableColumn id="2" xr3:uid="{2F9E3F96-C5A9-4D40-9CCD-2C8D3AB6329E}" name="VALUE" dataDxfId="44"/>
  </tableColumns>
  <tableStyleInfo name="TableStyleLight3"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F265C5B-BB1E-48BE-8E7F-6B7466228922}" name="Table5" displayName="Table5" ref="A4:F16" totalsRowShown="0" headerRowDxfId="43" dataDxfId="42">
  <autoFilter ref="A4:F16" xr:uid="{DF265C5B-BB1E-48BE-8E7F-6B7466228922}">
    <filterColumn colId="0" hiddenButton="1"/>
    <filterColumn colId="1" hiddenButton="1"/>
    <filterColumn colId="2" hiddenButton="1"/>
    <filterColumn colId="3" hiddenButton="1"/>
    <filterColumn colId="4" hiddenButton="1"/>
    <filterColumn colId="5" hiddenButton="1"/>
  </autoFilter>
  <tableColumns count="6">
    <tableColumn id="1" xr3:uid="{1B8D08A0-30CD-4A3A-AAFB-5D68244A3D85}" name="Stock" dataDxfId="41"/>
    <tableColumn id="2" xr3:uid="{A8846CE8-F6FA-4519-B6B2-99F9B38D7016}" name="Transaction" dataDxfId="40"/>
    <tableColumn id="3" xr3:uid="{235941C1-0238-4261-8024-1CA053726F61}" name="Units" dataDxfId="39"/>
    <tableColumn id="4" xr3:uid="{78A4A77F-142D-4077-A19A-55CAD6763F36}" name="Price" dataDxfId="38"/>
    <tableColumn id="5" xr3:uid="{81C63AC5-F267-4110-94A0-8D3862030D40}" name="Currency" dataDxfId="37"/>
    <tableColumn id="6" xr3:uid="{1EFA881E-D2DC-4AC6-B405-3F2C4BCEC69D}" name="Transaction Amount" dataDxfId="36">
      <calculatedColumnFormula>IF(C5*D5="0.00","",C5*D5)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1D59FA9F-BBE8-490A-9A92-67295D2A1EA1}" name="Table15" displayName="Table15" ref="A1:F25" totalsRowShown="0">
  <autoFilter ref="A1:F25" xr:uid="{1D59FA9F-BBE8-490A-9A92-67295D2A1EA1}"/>
  <tableColumns count="6">
    <tableColumn id="1" xr3:uid="{127C3D64-0E20-43F3-9ABD-2CF7F956C6E7}" name="Timeline" dataDxfId="35"/>
    <tableColumn id="2" xr3:uid="{308BE369-8B19-4778-9E91-0FB4D363BAC9}" name="Values"/>
    <tableColumn id="3" xr3:uid="{A431CB95-7B04-4B35-99D3-CC62682B4B49}" name="Forecast" dataDxfId="34">
      <calculatedColumnFormula>_xlfn.FORECAST.ETS(A2,$B$2:$B$13,$A$2:$A$13,3,1)</calculatedColumnFormula>
    </tableColumn>
    <tableColumn id="4" xr3:uid="{07C2D4D0-71DA-4080-B784-AADBD63E1FF9}" name="Lower Confidence Bound" dataDxfId="33">
      <calculatedColumnFormula>C2-_xlfn.FORECAST.ETS.CONFINT(A2,$B$2:$B$13,$A$2:$A$13,0.95,3,1)</calculatedColumnFormula>
    </tableColumn>
    <tableColumn id="5" xr3:uid="{7E511716-0D6F-4A66-B849-313BB77FBD66}" name="Upper Confidence Bound" dataDxfId="32">
      <calculatedColumnFormula>C2+_xlfn.FORECAST.ETS.CONFINT(A2,$B$2:$B$13,$A$2:$A$13,0.95,3,1)</calculatedColumnFormula>
    </tableColumn>
    <tableColumn id="6" xr3:uid="{031AA9C9-0308-4798-AD51-2AF464D28294}" name="Column1" dataDxfId="31">
      <calculatedColumnFormula>AVERAGE($C$14:$C$25)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FF22858-3455-40CA-BBFB-B440502E5C99}" name="Table10" displayName="Table10" ref="B11:C24" totalsRowShown="0" headerRowDxfId="30" dataDxfId="29" headerRowBorderDxfId="27" tableBorderDxfId="28" totalsRowBorderDxfId="26" headerRowCellStyle="20% - Accent1" dataCellStyle="20% - Accent1">
  <autoFilter ref="B11:C24" xr:uid="{8FF22858-3455-40CA-BBFB-B440502E5C99}">
    <filterColumn colId="0" hiddenButton="1"/>
    <filterColumn colId="1" hiddenButton="1"/>
  </autoFilter>
  <tableColumns count="2">
    <tableColumn id="1" xr3:uid="{60BBC1CC-B4F4-4C87-ADB9-3199A7A0AAE8}" name="Months" dataDxfId="25" dataCellStyle="20% - Accent1"/>
    <tableColumn id="2" xr3:uid="{0DC16B70-95A0-40C1-83CC-453366F13721}" name="Total" dataDxfId="24" dataCellStyle="20% - Accent1"/>
  </tableColumns>
  <tableStyleInfo name="Table Style 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C098006-2A6A-4F55-BE44-A514BCDB7014}" name="Table108" displayName="Table108" ref="B30:C43" totalsRowShown="0" headerRowDxfId="23" headerRowBorderDxfId="21" tableBorderDxfId="22" totalsRowBorderDxfId="20" headerRowCellStyle="20% - Accent1">
  <autoFilter ref="B30:C43" xr:uid="{0C098006-2A6A-4F55-BE44-A514BCDB7014}">
    <filterColumn colId="0" hiddenButton="1"/>
    <filterColumn colId="1" hiddenButton="1"/>
  </autoFilter>
  <tableColumns count="2">
    <tableColumn id="1" xr3:uid="{7E4C1A17-1A2B-4F4E-BE57-B62F0E45965F}" name="Months" dataDxfId="19" dataCellStyle="20% - Accent1"/>
    <tableColumn id="2" xr3:uid="{60227414-4B65-4F33-A375-93A9BCAF0F7D}" name="Total" dataDxfId="18" dataCellStyle="20% - Accent1"/>
  </tableColumns>
  <tableStyleInfo name="Table Style 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29FE9E32-F099-405B-B7F6-A296D7187092}" name="Table10817" displayName="Table10817" ref="B50:C63" totalsRowShown="0" headerRowDxfId="17" headerRowBorderDxfId="15" tableBorderDxfId="16" totalsRowBorderDxfId="14" headerRowCellStyle="20% - Accent1">
  <autoFilter ref="B50:C63" xr:uid="{29FE9E32-F099-405B-B7F6-A296D7187092}">
    <filterColumn colId="0" hiddenButton="1"/>
    <filterColumn colId="1" hiddenButton="1"/>
  </autoFilter>
  <tableColumns count="2">
    <tableColumn id="1" xr3:uid="{B7146D26-6E59-4277-A5CA-5B7C26E731D3}" name="Months" dataDxfId="13" dataCellStyle="20% - Accent1"/>
    <tableColumn id="2" xr3:uid="{2A362915-77D7-4E20-A60A-C31D78AEEBA9}" name="Total" dataDxfId="12" dataCellStyle="20% - Accent1"/>
  </tableColumns>
  <tableStyleInfo name="Table Style 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92806064-3D92-4E5A-A834-74CB825F2305}" name="Table1081715" displayName="Table1081715" ref="B70:C83" totalsRowShown="0" headerRowDxfId="11" headerRowBorderDxfId="9" tableBorderDxfId="10" totalsRowBorderDxfId="8" headerRowCellStyle="20% - Accent1">
  <autoFilter ref="B70:C83" xr:uid="{92806064-3D92-4E5A-A834-74CB825F2305}">
    <filterColumn colId="0" hiddenButton="1"/>
    <filterColumn colId="1" hiddenButton="1"/>
  </autoFilter>
  <tableColumns count="2">
    <tableColumn id="1" xr3:uid="{34B92BBA-62A8-4B11-8DFF-124009259C29}" name="Months" dataDxfId="7" dataCellStyle="20% - Accent1"/>
    <tableColumn id="2" xr3:uid="{CFD48AF0-781D-45B7-8676-628443506D29}" name="Total" dataDxfId="6" dataCellStyle="20% - Accent1"/>
  </tableColumns>
  <tableStyleInfo name="Table Style 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25EE61E-8953-42BF-81DF-816CC9A32647}" name="Table18" displayName="Table18" ref="B90:C103" totalsRowShown="0" headerRowDxfId="5" headerRowBorderDxfId="3" tableBorderDxfId="4" totalsRowBorderDxfId="2" headerRowCellStyle="20% - Accent1">
  <autoFilter ref="B90:C103" xr:uid="{125EE61E-8953-42BF-81DF-816CC9A32647}">
    <filterColumn colId="0" hiddenButton="1"/>
    <filterColumn colId="1" hiddenButton="1"/>
  </autoFilter>
  <tableColumns count="2">
    <tableColumn id="1" xr3:uid="{CA47EB05-3149-4FF2-A2F5-07A7947420EE}" name="Months" dataDxfId="1" dataCellStyle="20% - Accent1"/>
    <tableColumn id="2" xr3:uid="{70671238-892C-4980-AF2A-11EDBE53BC75}" name="Net Worth" dataDxfId="0" dataCellStyle="20% - Accent1"/>
  </tableColumns>
  <tableStyleInfo name="Table Style 2" showFirstColumn="0" showLastColumn="0" showRowStripes="1" showColumnStripes="0"/>
</table>
</file>

<file path=xl/theme/theme1.xml><?xml version="1.0" encoding="utf-8"?>
<a:theme xmlns:a="http://schemas.openxmlformats.org/drawingml/2006/main" name="Office Theme">
  <a:themeElements>
    <a:clrScheme name="Red Violet">
      <a:dk1>
        <a:sysClr val="windowText" lastClr="000000"/>
      </a:dk1>
      <a:lt1>
        <a:sysClr val="window" lastClr="FFFFFF"/>
      </a:lt1>
      <a:dk2>
        <a:srgbClr val="454551"/>
      </a:dk2>
      <a:lt2>
        <a:srgbClr val="D8D9DC"/>
      </a:lt2>
      <a:accent1>
        <a:srgbClr val="E32D91"/>
      </a:accent1>
      <a:accent2>
        <a:srgbClr val="C830CC"/>
      </a:accent2>
      <a:accent3>
        <a:srgbClr val="4EA6DC"/>
      </a:accent3>
      <a:accent4>
        <a:srgbClr val="4775E7"/>
      </a:accent4>
      <a:accent5>
        <a:srgbClr val="8971E1"/>
      </a:accent5>
      <a:accent6>
        <a:srgbClr val="D54773"/>
      </a:accent6>
      <a:hlink>
        <a:srgbClr val="6B9F25"/>
      </a:hlink>
      <a:folHlink>
        <a:srgbClr val="8C8C8C"/>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5.xml"/><Relationship Id="rId7" Type="http://schemas.openxmlformats.org/officeDocument/2006/relationships/table" Target="../tables/table9.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8.xml"/><Relationship Id="rId5" Type="http://schemas.openxmlformats.org/officeDocument/2006/relationships/table" Target="../tables/table7.xml"/><Relationship Id="rId4" Type="http://schemas.openxmlformats.org/officeDocument/2006/relationships/table" Target="../tables/table6.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table" Target="../tables/table12.xml"/><Relationship Id="rId7" Type="http://schemas.openxmlformats.org/officeDocument/2006/relationships/table" Target="../tables/table16.xml"/><Relationship Id="rId2" Type="http://schemas.openxmlformats.org/officeDocument/2006/relationships/drawing" Target="../drawings/drawing8.xml"/><Relationship Id="rId1" Type="http://schemas.openxmlformats.org/officeDocument/2006/relationships/printerSettings" Target="../printerSettings/printerSettings7.bin"/><Relationship Id="rId6" Type="http://schemas.openxmlformats.org/officeDocument/2006/relationships/table" Target="../tables/table15.xml"/><Relationship Id="rId5" Type="http://schemas.openxmlformats.org/officeDocument/2006/relationships/table" Target="../tables/table14.xml"/><Relationship Id="rId4" Type="http://schemas.openxmlformats.org/officeDocument/2006/relationships/table" Target="../tables/table13.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DF6CDA-4E1F-409A-BF4D-4B88DF724588}">
  <sheetPr codeName="Sheet2">
    <tabColor rgb="FFC3A2E8"/>
  </sheetPr>
  <dimension ref="A1:V21"/>
  <sheetViews>
    <sheetView tabSelected="1" zoomScaleNormal="100" workbookViewId="0">
      <selection activeCell="O3" sqref="O3"/>
    </sheetView>
  </sheetViews>
  <sheetFormatPr defaultColWidth="8.42578125" defaultRowHeight="14.45"/>
  <cols>
    <col min="1" max="5" width="8.42578125" style="82"/>
    <col min="6" max="6" width="5.42578125" style="82" customWidth="1"/>
    <col min="7" max="7" width="0" style="82" hidden="1" customWidth="1"/>
    <col min="8" max="8" width="12.42578125" style="82" customWidth="1"/>
    <col min="9" max="9" width="24.42578125" style="82" customWidth="1"/>
    <col min="10" max="10" width="8.42578125" style="82" bestFit="1" customWidth="1"/>
    <col min="11" max="11" width="11" style="82" customWidth="1"/>
    <col min="12" max="13" width="8.42578125" style="82" customWidth="1"/>
    <col min="14" max="14" width="8.42578125" style="82" bestFit="1" customWidth="1"/>
    <col min="15" max="15" width="9.42578125" style="82" customWidth="1"/>
    <col min="16" max="16384" width="8.42578125" style="82"/>
  </cols>
  <sheetData>
    <row r="1" spans="1:22" ht="14.45" customHeight="1">
      <c r="M1" s="83"/>
      <c r="N1" s="83"/>
      <c r="O1" s="83"/>
      <c r="P1" s="83"/>
      <c r="Q1" s="83"/>
      <c r="R1" s="83"/>
      <c r="S1" s="83"/>
      <c r="T1" s="83"/>
      <c r="U1" s="83"/>
      <c r="V1" s="83"/>
    </row>
    <row r="2" spans="1:22" ht="14.45" customHeight="1">
      <c r="B2" s="129" t="s">
        <v>0</v>
      </c>
      <c r="C2" s="129"/>
      <c r="D2" s="129"/>
      <c r="E2" s="129"/>
      <c r="F2" s="129"/>
      <c r="G2" s="129"/>
      <c r="H2" s="129"/>
      <c r="I2" s="89"/>
      <c r="M2" s="83"/>
      <c r="N2" s="83"/>
      <c r="O2" s="83"/>
      <c r="P2" s="83"/>
      <c r="Q2" s="83"/>
      <c r="R2" s="83"/>
      <c r="S2" s="83"/>
      <c r="T2" s="83"/>
      <c r="U2" s="83"/>
      <c r="V2" s="83"/>
    </row>
    <row r="3" spans="1:22" ht="14.45" customHeight="1">
      <c r="B3" s="129"/>
      <c r="C3" s="129"/>
      <c r="D3" s="129"/>
      <c r="E3" s="129"/>
      <c r="F3" s="129"/>
      <c r="G3" s="129"/>
      <c r="H3" s="129"/>
      <c r="I3" s="89"/>
      <c r="K3" s="91">
        <f ca="1">TODAY()</f>
        <v>44571</v>
      </c>
      <c r="M3" s="83"/>
      <c r="N3" s="83"/>
      <c r="O3" s="83"/>
      <c r="P3" s="83"/>
      <c r="Q3" s="83"/>
      <c r="R3" s="83"/>
      <c r="S3" s="83"/>
      <c r="T3" s="83"/>
      <c r="U3" s="83"/>
      <c r="V3" s="83"/>
    </row>
    <row r="4" spans="1:22" ht="14.45" customHeight="1">
      <c r="B4" s="130"/>
      <c r="C4" s="130"/>
      <c r="D4" s="130"/>
      <c r="E4" s="130"/>
      <c r="F4" s="130"/>
      <c r="G4" s="130"/>
      <c r="H4" s="130"/>
      <c r="I4" s="90"/>
      <c r="J4" s="84"/>
      <c r="K4" s="84"/>
      <c r="L4" s="84"/>
      <c r="M4" s="88"/>
      <c r="N4" s="83"/>
      <c r="O4" s="83"/>
      <c r="P4" s="83"/>
      <c r="Q4" s="83"/>
      <c r="R4" s="83"/>
      <c r="S4" s="83"/>
      <c r="T4" s="83"/>
      <c r="U4" s="83"/>
      <c r="V4" s="83"/>
    </row>
    <row r="5" spans="1:22" ht="14.45" customHeight="1">
      <c r="B5" s="85"/>
      <c r="C5" s="85"/>
      <c r="D5" s="85"/>
      <c r="M5" s="83"/>
      <c r="N5" s="83"/>
      <c r="O5" s="83"/>
      <c r="P5" s="83"/>
      <c r="Q5" s="83"/>
      <c r="R5" s="83"/>
      <c r="S5" s="83"/>
      <c r="T5" s="83"/>
      <c r="U5" s="83"/>
      <c r="V5" s="83"/>
    </row>
    <row r="6" spans="1:22">
      <c r="A6" s="83"/>
      <c r="B6" s="83"/>
      <c r="C6" s="83"/>
      <c r="D6" s="83"/>
      <c r="E6" s="83"/>
      <c r="F6" s="83"/>
      <c r="G6" s="83"/>
      <c r="H6" s="83"/>
      <c r="I6" s="83"/>
      <c r="J6" s="83"/>
      <c r="K6" s="83"/>
      <c r="L6" s="83"/>
      <c r="M6" s="83"/>
      <c r="N6" s="83"/>
      <c r="O6" s="83"/>
      <c r="P6" s="83"/>
      <c r="Q6" s="83"/>
      <c r="R6" s="83"/>
      <c r="S6" s="83"/>
      <c r="T6" s="83"/>
      <c r="U6" s="83"/>
      <c r="V6" s="83"/>
    </row>
    <row r="7" spans="1:22">
      <c r="A7" s="83"/>
      <c r="B7" s="83"/>
      <c r="C7" s="83"/>
      <c r="D7" s="83"/>
      <c r="E7" s="83"/>
      <c r="F7" s="83"/>
      <c r="G7" s="83"/>
      <c r="H7" s="83"/>
      <c r="I7" s="83"/>
      <c r="J7" s="83"/>
      <c r="K7" s="83"/>
      <c r="L7" s="83"/>
      <c r="M7" s="83"/>
      <c r="N7" s="83"/>
      <c r="O7" s="83"/>
      <c r="P7" s="83"/>
      <c r="Q7" s="83"/>
      <c r="R7" s="83"/>
      <c r="S7" s="83"/>
      <c r="T7" s="83"/>
      <c r="U7" s="83"/>
      <c r="V7" s="83"/>
    </row>
    <row r="8" spans="1:22">
      <c r="A8" s="83"/>
      <c r="B8" s="83"/>
      <c r="C8" s="83"/>
      <c r="D8" s="83"/>
      <c r="E8" s="83"/>
      <c r="F8" s="83"/>
      <c r="G8" s="83"/>
      <c r="H8" s="83"/>
      <c r="I8" s="83"/>
      <c r="J8" s="83"/>
      <c r="K8" s="83"/>
      <c r="L8" s="83"/>
      <c r="M8" s="83"/>
      <c r="N8" s="83"/>
      <c r="O8" s="83"/>
      <c r="P8" s="83"/>
      <c r="Q8" s="83"/>
      <c r="R8" s="83"/>
      <c r="S8" s="83"/>
      <c r="T8" s="83"/>
      <c r="U8" s="83"/>
      <c r="V8" s="83"/>
    </row>
    <row r="9" spans="1:22" ht="14.45" customHeight="1">
      <c r="A9" s="83"/>
      <c r="B9" s="83"/>
      <c r="C9" s="83"/>
      <c r="D9" s="83"/>
      <c r="E9" s="83"/>
      <c r="F9" s="83"/>
      <c r="G9" s="83"/>
      <c r="H9" s="83"/>
      <c r="I9" s="83"/>
      <c r="J9" s="83"/>
      <c r="K9" s="83"/>
      <c r="L9" s="83"/>
      <c r="M9" s="83"/>
      <c r="N9" s="83"/>
      <c r="O9" s="83"/>
      <c r="P9" s="83"/>
      <c r="Q9" s="83"/>
      <c r="R9" s="83"/>
      <c r="S9" s="83"/>
      <c r="T9" s="83"/>
      <c r="U9" s="83"/>
      <c r="V9" s="83"/>
    </row>
    <row r="10" spans="1:22" ht="14.45" customHeight="1">
      <c r="A10" s="83"/>
      <c r="B10" s="83"/>
      <c r="C10" s="83"/>
      <c r="D10" s="83"/>
      <c r="E10" s="83"/>
      <c r="F10" s="83"/>
      <c r="G10" s="83"/>
      <c r="H10" s="83"/>
      <c r="I10" s="83"/>
      <c r="J10" s="83"/>
      <c r="K10" s="83"/>
      <c r="L10" s="83"/>
      <c r="M10" s="83"/>
      <c r="N10" s="83"/>
      <c r="O10" s="83"/>
      <c r="P10" s="83"/>
      <c r="Q10" s="83"/>
      <c r="R10" s="83"/>
      <c r="S10" s="83"/>
      <c r="T10" s="83"/>
      <c r="U10" s="83"/>
      <c r="V10" s="83"/>
    </row>
    <row r="11" spans="1:22" ht="14.45" customHeight="1">
      <c r="A11" s="83"/>
      <c r="B11" s="83"/>
      <c r="C11" s="83"/>
      <c r="D11" s="83"/>
      <c r="E11" s="83"/>
      <c r="F11" s="83"/>
      <c r="G11" s="83"/>
      <c r="H11" s="83"/>
      <c r="I11" s="83"/>
      <c r="J11" s="83"/>
      <c r="K11" s="83"/>
      <c r="L11" s="83"/>
      <c r="M11" s="83"/>
      <c r="N11" s="83"/>
      <c r="O11" s="83"/>
      <c r="P11" s="83"/>
      <c r="Q11" s="83"/>
      <c r="R11" s="83"/>
    </row>
    <row r="12" spans="1:22" ht="14.45" customHeight="1"/>
    <row r="13" spans="1:22">
      <c r="P13" s="86"/>
      <c r="Q13" s="86"/>
    </row>
    <row r="14" spans="1:22">
      <c r="K14" s="86"/>
      <c r="L14" s="86"/>
      <c r="M14" s="86"/>
      <c r="N14" s="86"/>
      <c r="O14" s="86"/>
      <c r="P14" s="86"/>
      <c r="Q14" s="86"/>
    </row>
    <row r="15" spans="1:22" ht="14.45" customHeight="1">
      <c r="B15" s="87"/>
      <c r="C15" s="87"/>
      <c r="D15" s="87"/>
      <c r="E15" s="87"/>
      <c r="F15" s="87"/>
      <c r="G15" s="87"/>
      <c r="H15" s="87"/>
      <c r="I15" s="87"/>
      <c r="J15" s="87"/>
      <c r="K15" s="87"/>
      <c r="L15" s="87"/>
      <c r="M15" s="87"/>
      <c r="N15" s="86"/>
      <c r="O15" s="86"/>
      <c r="P15" s="86"/>
      <c r="Q15" s="86"/>
    </row>
    <row r="16" spans="1:22" ht="14.45" customHeight="1">
      <c r="B16" s="87"/>
      <c r="C16" s="87"/>
      <c r="D16" s="87"/>
      <c r="E16" s="87"/>
      <c r="F16" s="87"/>
      <c r="G16" s="87"/>
      <c r="H16" s="87"/>
      <c r="I16" s="87"/>
      <c r="J16" s="87"/>
      <c r="K16" s="87"/>
      <c r="L16" s="87"/>
      <c r="M16" s="87"/>
    </row>
    <row r="21" spans="2:2">
      <c r="B21" s="83"/>
    </row>
  </sheetData>
  <mergeCells count="1">
    <mergeCell ref="B2:H4"/>
  </mergeCells>
  <pageMargins left="0.7" right="0.7" top="0.75" bottom="0.75" header="0.3" footer="0.3"/>
  <pageSetup paperSize="9" scale="58" orientation="landscape" horizontalDpi="300" verticalDpi="3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9A826-E221-46DF-9F8C-883D11A1C106}">
  <sheetPr codeName="Sheet1">
    <tabColor rgb="FFFFCC99"/>
  </sheetPr>
  <dimension ref="B2:Q25"/>
  <sheetViews>
    <sheetView zoomScale="80" zoomScaleNormal="80" workbookViewId="0">
      <selection activeCell="I8" sqref="I8:J9"/>
    </sheetView>
  </sheetViews>
  <sheetFormatPr defaultColWidth="8.42578125" defaultRowHeight="14.45"/>
  <cols>
    <col min="1" max="1" width="8.42578125" style="24"/>
    <col min="2" max="2" width="34.140625" style="24" customWidth="1"/>
    <col min="3" max="3" width="18.42578125" style="24" customWidth="1"/>
    <col min="4" max="4" width="8.42578125" style="24"/>
    <col min="5" max="5" width="6.42578125" style="24" customWidth="1"/>
    <col min="6" max="6" width="19.42578125" style="24" customWidth="1"/>
    <col min="7" max="7" width="8.42578125" style="24"/>
    <col min="8" max="8" width="5.85546875" style="24" customWidth="1"/>
    <col min="9" max="9" width="18.42578125" style="24" customWidth="1"/>
    <col min="10" max="10" width="7.85546875" style="24" customWidth="1"/>
    <col min="11" max="11" width="6" style="24" customWidth="1"/>
    <col min="12" max="12" width="17.42578125" style="24" customWidth="1"/>
    <col min="13" max="16384" width="8.42578125" style="24"/>
  </cols>
  <sheetData>
    <row r="2" spans="2:13">
      <c r="B2" s="131" t="s">
        <v>1</v>
      </c>
      <c r="C2" s="131"/>
      <c r="D2" s="131"/>
      <c r="G2" s="25"/>
    </row>
    <row r="3" spans="2:13">
      <c r="B3" s="131"/>
      <c r="C3" s="131"/>
      <c r="D3" s="131"/>
      <c r="F3" s="26" t="s">
        <v>2</v>
      </c>
      <c r="G3" s="25"/>
      <c r="J3" s="133">
        <f ca="1">TODAY()</f>
        <v>44571</v>
      </c>
      <c r="K3" s="133"/>
    </row>
    <row r="4" spans="2:13" ht="15.6" customHeight="1" thickBot="1">
      <c r="B4" s="132"/>
      <c r="C4" s="132"/>
      <c r="D4" s="132"/>
      <c r="E4" s="27"/>
      <c r="F4" s="27"/>
      <c r="G4" s="28"/>
      <c r="H4" s="27"/>
      <c r="I4" s="27"/>
      <c r="J4" s="27"/>
      <c r="K4" s="27"/>
    </row>
    <row r="5" spans="2:13" ht="24" customHeight="1"/>
    <row r="7" spans="2:13">
      <c r="C7" s="24" t="s">
        <v>3</v>
      </c>
      <c r="D7" s="24" t="s">
        <v>4</v>
      </c>
      <c r="F7" s="24" t="s">
        <v>5</v>
      </c>
      <c r="G7" s="24" t="s">
        <v>4</v>
      </c>
      <c r="I7" s="24" t="s">
        <v>6</v>
      </c>
      <c r="J7" s="24" t="s">
        <v>4</v>
      </c>
      <c r="L7" s="24" t="s">
        <v>7</v>
      </c>
      <c r="M7" s="24" t="s">
        <v>4</v>
      </c>
    </row>
    <row r="8" spans="2:13">
      <c r="C8" s="24" t="s">
        <v>8</v>
      </c>
      <c r="D8" s="24">
        <v>0</v>
      </c>
      <c r="F8" s="24" t="s">
        <v>9</v>
      </c>
      <c r="G8" s="24">
        <v>500</v>
      </c>
      <c r="I8" s="24" t="s">
        <v>10</v>
      </c>
      <c r="J8" s="24">
        <v>500</v>
      </c>
      <c r="L8" s="24" t="s">
        <v>11</v>
      </c>
      <c r="M8" s="24">
        <v>500</v>
      </c>
    </row>
    <row r="9" spans="2:13">
      <c r="F9" s="24" t="s">
        <v>8</v>
      </c>
      <c r="G9" s="24">
        <f ca="1">SUM(INDIRECT("G8:G"&amp;ROW()-1))</f>
        <v>500</v>
      </c>
      <c r="I9" s="24" t="s">
        <v>8</v>
      </c>
      <c r="J9" s="24">
        <f ca="1">SUM(INDIRECT("J8:J"&amp;ROW()-1))</f>
        <v>500</v>
      </c>
      <c r="L9" s="24" t="s">
        <v>8</v>
      </c>
      <c r="M9" s="24">
        <f ca="1">SUM(INDIRECT("M8:M"&amp;ROW()-1))</f>
        <v>500</v>
      </c>
    </row>
    <row r="17" spans="2:17">
      <c r="P17" s="29" t="s">
        <v>12</v>
      </c>
      <c r="Q17" s="29" t="s">
        <v>13</v>
      </c>
    </row>
    <row r="18" spans="2:17">
      <c r="P18" s="29" t="s">
        <v>3</v>
      </c>
      <c r="Q18" s="29">
        <f>SUM(Table1[VALUE])/2</f>
        <v>0</v>
      </c>
    </row>
    <row r="19" spans="2:17">
      <c r="P19" s="29" t="s">
        <v>5</v>
      </c>
      <c r="Q19" s="29">
        <f ca="1">SUM(Table2[VALUE])/2</f>
        <v>500</v>
      </c>
    </row>
    <row r="20" spans="2:17">
      <c r="P20" s="29" t="s">
        <v>6</v>
      </c>
      <c r="Q20" s="29">
        <f ca="1">SUM(Table4[VALUE])/2</f>
        <v>500</v>
      </c>
    </row>
    <row r="21" spans="2:17">
      <c r="B21" s="30" t="s">
        <v>14</v>
      </c>
      <c r="P21" s="29" t="s">
        <v>7</v>
      </c>
      <c r="Q21" s="29">
        <f ca="1">SUM(Table6[VALUE])/2</f>
        <v>500</v>
      </c>
    </row>
    <row r="22" spans="2:17" ht="21">
      <c r="B22" s="31">
        <f ca="1">SUM(Table1[VALUE],Table2[VALUE],Table4[VALUE],Table6[VALUE])/2</f>
        <v>1500</v>
      </c>
    </row>
    <row r="24" spans="2:17">
      <c r="B24" s="67"/>
    </row>
    <row r="25" spans="2:17">
      <c r="B25" s="67"/>
    </row>
  </sheetData>
  <mergeCells count="2">
    <mergeCell ref="B2:D4"/>
    <mergeCell ref="J3:K3"/>
  </mergeCells>
  <dataValidations count="2">
    <dataValidation type="decimal" operator="greaterThanOrEqual" allowBlank="1" showInputMessage="1" showErrorMessage="1" sqref="D23" xr:uid="{18822FA6-88BF-4C05-A2D2-4D042E244D8A}">
      <formula1>0</formula1>
    </dataValidation>
    <dataValidation type="decimal" operator="greaterThanOrEqual" allowBlank="1" showInputMessage="1" showErrorMessage="1" errorTitle="Data Validation Error" error="The value inputted must be of a decimal greater than 0!" sqref="G8:G25 J8:J25 M8:M25 D9:D22" xr:uid="{7292DA0C-FE52-4D30-95B0-C9EA63713DB0}">
      <formula1>0</formula1>
    </dataValidation>
  </dataValidations>
  <pageMargins left="0.7" right="0.7" top="0.75" bottom="0.75" header="0.3" footer="0.3"/>
  <pageSetup scale="60" orientation="landscape" r:id="rId1"/>
  <drawing r:id="rId2"/>
  <tableParts count="4">
    <tablePart r:id="rId3"/>
    <tablePart r:id="rId4"/>
    <tablePart r:id="rId5"/>
    <tablePart r:id="rId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FDB175-6015-425D-BC91-4B2699BFFEE5}">
  <sheetPr codeName="Sheet3">
    <tabColor rgb="FFFAA8F2"/>
  </sheetPr>
  <dimension ref="A2:W112"/>
  <sheetViews>
    <sheetView zoomScale="80" zoomScaleNormal="80" workbookViewId="0">
      <selection activeCell="R17" sqref="R17"/>
    </sheetView>
  </sheetViews>
  <sheetFormatPr defaultColWidth="8.85546875" defaultRowHeight="14.45"/>
  <cols>
    <col min="1" max="1" width="4.140625" style="60" customWidth="1"/>
    <col min="2" max="2" width="42.7109375" style="60" customWidth="1"/>
    <col min="3" max="3" width="22.140625" style="60" customWidth="1"/>
    <col min="4" max="4" width="11.85546875" style="60" customWidth="1"/>
    <col min="5" max="5" width="6.140625" style="60" customWidth="1"/>
    <col min="6" max="6" width="21.140625" style="60" customWidth="1"/>
    <col min="7" max="7" width="8.42578125" style="60" customWidth="1"/>
    <col min="8" max="8" width="5.42578125" style="60" customWidth="1"/>
    <col min="9" max="9" width="23.42578125" style="60" customWidth="1"/>
    <col min="10" max="10" width="11.85546875" style="60" customWidth="1"/>
    <col min="11" max="11" width="6.42578125" style="60" customWidth="1"/>
    <col min="12" max="12" width="17.42578125" style="60" customWidth="1"/>
    <col min="13" max="13" width="10.42578125" style="60" customWidth="1"/>
    <col min="14" max="14" width="5.42578125" style="60" customWidth="1"/>
    <col min="15" max="15" width="18.140625" style="60" customWidth="1"/>
    <col min="16" max="17" width="8.85546875" style="60"/>
    <col min="18" max="18" width="17" style="60" customWidth="1"/>
    <col min="19" max="19" width="11" style="60" hidden="1" customWidth="1"/>
    <col min="20" max="20" width="0" style="60" hidden="1" customWidth="1"/>
    <col min="21" max="16384" width="8.85546875" style="60"/>
  </cols>
  <sheetData>
    <row r="2" spans="2:20">
      <c r="B2" s="134" t="s">
        <v>15</v>
      </c>
      <c r="C2" s="134"/>
      <c r="D2" s="134"/>
      <c r="G2" s="62"/>
    </row>
    <row r="3" spans="2:20">
      <c r="B3" s="134"/>
      <c r="C3" s="134"/>
      <c r="D3" s="134"/>
      <c r="F3" s="63" t="s">
        <v>2</v>
      </c>
      <c r="G3" s="62"/>
      <c r="M3" s="95">
        <f ca="1">TODAY()</f>
        <v>44571</v>
      </c>
    </row>
    <row r="4" spans="2:20" ht="15" thickBot="1">
      <c r="B4" s="135"/>
      <c r="C4" s="135"/>
      <c r="D4" s="135"/>
      <c r="E4" s="64"/>
      <c r="F4" s="64"/>
      <c r="G4" s="65"/>
      <c r="H4" s="64"/>
      <c r="I4" s="64"/>
      <c r="J4" s="64"/>
      <c r="K4" s="64"/>
      <c r="L4" s="64"/>
      <c r="M4" s="64"/>
    </row>
    <row r="5" spans="2:20" ht="31.5" customHeight="1"/>
    <row r="6" spans="2:20">
      <c r="B6" s="105"/>
      <c r="C6" s="136" t="s">
        <v>16</v>
      </c>
      <c r="D6" s="136"/>
      <c r="E6" s="136"/>
      <c r="F6" s="136"/>
      <c r="G6" s="136"/>
      <c r="H6" s="136"/>
      <c r="I6" s="136"/>
      <c r="J6" s="136"/>
      <c r="K6" s="136"/>
      <c r="L6" s="137" t="s">
        <v>17</v>
      </c>
      <c r="M6" s="137"/>
      <c r="N6" s="137"/>
      <c r="O6" s="137"/>
      <c r="P6" s="137"/>
    </row>
    <row r="7" spans="2:20">
      <c r="B7" s="105"/>
      <c r="C7" s="136"/>
      <c r="D7" s="136"/>
      <c r="E7" s="136"/>
      <c r="F7" s="136"/>
      <c r="G7" s="136"/>
      <c r="H7" s="136"/>
      <c r="I7" s="136"/>
      <c r="J7" s="136"/>
      <c r="K7" s="136"/>
      <c r="L7" s="137"/>
      <c r="M7" s="137"/>
      <c r="N7" s="137"/>
      <c r="O7" s="137"/>
      <c r="P7" s="137"/>
    </row>
    <row r="8" spans="2:20">
      <c r="B8" s="104"/>
      <c r="C8" s="104"/>
      <c r="D8" s="104"/>
      <c r="E8" s="104"/>
      <c r="F8" s="104"/>
      <c r="G8" s="104"/>
    </row>
    <row r="9" spans="2:20">
      <c r="Q9" s="107"/>
      <c r="R9" s="107"/>
      <c r="S9" s="107"/>
      <c r="T9" s="107"/>
    </row>
    <row r="10" spans="2:20">
      <c r="Q10" s="107"/>
      <c r="R10" s="107"/>
      <c r="S10" s="107"/>
      <c r="T10" s="107"/>
    </row>
    <row r="11" spans="2:20">
      <c r="C11" s="107" t="s">
        <v>18</v>
      </c>
      <c r="D11" s="108" t="s">
        <v>4</v>
      </c>
      <c r="F11" s="107" t="s">
        <v>19</v>
      </c>
      <c r="G11" s="107" t="s">
        <v>4</v>
      </c>
      <c r="H11" s="107"/>
      <c r="I11" s="107" t="s">
        <v>20</v>
      </c>
      <c r="J11" s="107" t="s">
        <v>4</v>
      </c>
      <c r="L11" s="107" t="s">
        <v>21</v>
      </c>
      <c r="M11" s="107" t="s">
        <v>4</v>
      </c>
      <c r="O11" s="107" t="s">
        <v>22</v>
      </c>
      <c r="P11" s="107" t="s">
        <v>4</v>
      </c>
      <c r="Q11" s="107"/>
      <c r="R11" s="107"/>
      <c r="S11" s="107"/>
      <c r="T11" s="107"/>
    </row>
    <row r="12" spans="2:20">
      <c r="C12" s="107" t="s">
        <v>23</v>
      </c>
      <c r="D12" s="108">
        <v>900</v>
      </c>
      <c r="F12" s="107" t="s">
        <v>24</v>
      </c>
      <c r="G12" s="107">
        <v>100</v>
      </c>
      <c r="H12" s="107"/>
      <c r="I12" s="107" t="s">
        <v>8</v>
      </c>
      <c r="J12" s="107">
        <v>0</v>
      </c>
      <c r="L12" s="107" t="s">
        <v>8</v>
      </c>
      <c r="M12" s="107">
        <v>0</v>
      </c>
      <c r="O12" s="107" t="s">
        <v>8</v>
      </c>
      <c r="P12" s="107">
        <v>0</v>
      </c>
      <c r="Q12" s="107"/>
      <c r="R12" s="107"/>
      <c r="S12" s="107"/>
      <c r="T12" s="107"/>
    </row>
    <row r="13" spans="2:20">
      <c r="C13" s="107" t="s">
        <v>8</v>
      </c>
      <c r="D13" s="108">
        <f ca="1">SUM(INDIRECT("D12:D"&amp;ROW()-1))</f>
        <v>900</v>
      </c>
      <c r="F13" s="107" t="s">
        <v>8</v>
      </c>
      <c r="G13" s="107">
        <f ca="1">SUM(INDIRECT("G12:G"&amp;ROW()-1))</f>
        <v>100</v>
      </c>
      <c r="H13" s="107"/>
      <c r="Q13" s="107"/>
      <c r="R13" s="107"/>
      <c r="S13" s="107"/>
      <c r="T13" s="107"/>
    </row>
    <row r="14" spans="2:20">
      <c r="D14" s="107"/>
      <c r="E14" s="107"/>
      <c r="F14" s="107"/>
      <c r="G14" s="107"/>
      <c r="H14" s="107"/>
      <c r="Q14" s="107"/>
      <c r="R14" s="107"/>
      <c r="S14" s="107"/>
      <c r="T14" s="107"/>
    </row>
    <row r="15" spans="2:20">
      <c r="D15" s="107"/>
      <c r="E15" s="107"/>
      <c r="F15" s="107"/>
      <c r="G15" s="107"/>
      <c r="H15" s="107"/>
      <c r="Q15" s="107"/>
      <c r="R15" s="107"/>
      <c r="S15" s="107"/>
      <c r="T15" s="107"/>
    </row>
    <row r="16" spans="2:20" ht="14.45" customHeight="1">
      <c r="D16" s="107"/>
      <c r="G16" s="107"/>
      <c r="H16" s="107"/>
      <c r="I16" s="109"/>
      <c r="K16" s="107"/>
      <c r="Q16" s="107"/>
      <c r="R16" s="107"/>
      <c r="S16" s="107"/>
      <c r="T16" s="107"/>
    </row>
    <row r="17" spans="1:22">
      <c r="Q17" s="107"/>
      <c r="R17" s="107"/>
      <c r="S17" s="107"/>
      <c r="T17" s="107"/>
    </row>
    <row r="18" spans="1:22" ht="14.45" customHeight="1">
      <c r="Q18" s="107"/>
      <c r="R18" s="107"/>
      <c r="S18" s="107"/>
      <c r="T18" s="107"/>
    </row>
    <row r="19" spans="1:22" ht="14.45" customHeight="1">
      <c r="Q19" s="107"/>
      <c r="R19" s="107"/>
      <c r="S19" s="107"/>
      <c r="T19" s="107"/>
    </row>
    <row r="20" spans="1:22" ht="27" customHeight="1">
      <c r="Q20" s="107"/>
      <c r="R20" s="107"/>
      <c r="S20" s="107"/>
      <c r="T20" s="107"/>
    </row>
    <row r="21" spans="1:22" ht="14.45" customHeight="1">
      <c r="Q21" s="107"/>
      <c r="R21" s="107"/>
      <c r="S21" s="107"/>
      <c r="T21" s="107"/>
    </row>
    <row r="22" spans="1:22" ht="14.45" customHeight="1">
      <c r="A22" s="106"/>
      <c r="B22" s="111" t="s">
        <v>25</v>
      </c>
      <c r="Q22" s="107"/>
      <c r="R22" s="107"/>
      <c r="S22" s="107"/>
      <c r="T22" s="107"/>
    </row>
    <row r="23" spans="1:22" ht="23.45" customHeight="1">
      <c r="B23" s="112">
        <f ca="1">SUM(Table179[VALUE],Table17910[VALUE],Table1710[VALUE],Table171213[VALUE],,Table1712[VALUE])/2</f>
        <v>1000</v>
      </c>
      <c r="Q23" s="107"/>
      <c r="R23" s="107"/>
      <c r="S23" s="107"/>
      <c r="T23" s="107"/>
    </row>
    <row r="24" spans="1:22" ht="14.45" customHeight="1">
      <c r="Q24" s="107"/>
      <c r="R24" s="107"/>
      <c r="S24" s="107"/>
      <c r="T24" s="107"/>
    </row>
    <row r="25" spans="1:22" ht="14.45" customHeight="1">
      <c r="A25" s="127" t="s">
        <v>26</v>
      </c>
      <c r="B25" s="127" t="s">
        <v>4</v>
      </c>
      <c r="Q25" s="107"/>
      <c r="R25" s="107"/>
      <c r="S25" s="107"/>
      <c r="T25" s="107"/>
    </row>
    <row r="26" spans="1:22" ht="14.45" customHeight="1">
      <c r="A26" s="127" t="s">
        <v>27</v>
      </c>
      <c r="B26" s="127">
        <f ca="1">SUM(Table179[VALUE])/2</f>
        <v>900</v>
      </c>
      <c r="Q26" s="107"/>
      <c r="R26" s="107"/>
      <c r="S26" s="107"/>
      <c r="T26" s="107"/>
    </row>
    <row r="27" spans="1:22" ht="14.45" customHeight="1">
      <c r="A27" s="127" t="s">
        <v>28</v>
      </c>
      <c r="B27" s="127">
        <f ca="1">SUM(Table17910[VALUE])/2</f>
        <v>100</v>
      </c>
      <c r="Q27" s="107"/>
      <c r="R27" s="107"/>
      <c r="S27" s="107"/>
      <c r="T27" s="107"/>
    </row>
    <row r="28" spans="1:22" ht="14.45" customHeight="1">
      <c r="A28" s="127" t="s">
        <v>29</v>
      </c>
      <c r="B28" s="127">
        <f>SUM(Table1710[VALUE])/2</f>
        <v>0</v>
      </c>
      <c r="Q28" s="107"/>
      <c r="R28" s="107"/>
      <c r="S28" s="107"/>
      <c r="T28" s="107"/>
    </row>
    <row r="29" spans="1:22" ht="14.45" customHeight="1">
      <c r="A29" s="127" t="s">
        <v>30</v>
      </c>
      <c r="B29" s="127">
        <f>SUM(Table171213[VALUE])/2</f>
        <v>0</v>
      </c>
      <c r="Q29" s="107"/>
      <c r="R29" s="107"/>
      <c r="S29" s="107"/>
      <c r="T29" s="107"/>
    </row>
    <row r="30" spans="1:22" ht="14.45" customHeight="1">
      <c r="A30" s="127" t="s">
        <v>31</v>
      </c>
      <c r="B30" s="127">
        <f>SUM(Table1712[VALUE])/2</f>
        <v>0</v>
      </c>
      <c r="Q30" s="107"/>
      <c r="R30" s="107"/>
      <c r="S30" s="107"/>
      <c r="T30" s="108"/>
    </row>
    <row r="31" spans="1:22" ht="14.45" customHeight="1">
      <c r="Q31" s="107"/>
      <c r="R31" s="107"/>
      <c r="S31" s="107"/>
      <c r="T31" s="107"/>
    </row>
    <row r="32" spans="1:22" ht="14.45" customHeight="1">
      <c r="Q32" s="107"/>
      <c r="R32" s="107"/>
      <c r="S32" s="107"/>
      <c r="T32" s="128"/>
      <c r="U32" s="110"/>
      <c r="V32" s="110"/>
    </row>
    <row r="33" spans="17:23" ht="14.45" customHeight="1">
      <c r="Q33" s="107"/>
      <c r="R33" s="107"/>
      <c r="S33" s="107"/>
      <c r="T33" s="128"/>
      <c r="U33" s="110"/>
      <c r="V33" s="110"/>
      <c r="W33" s="110"/>
    </row>
    <row r="34" spans="17:23" ht="14.45" customHeight="1">
      <c r="Q34" s="107"/>
      <c r="R34" s="107"/>
      <c r="S34" s="107"/>
      <c r="T34" s="128"/>
      <c r="U34" s="110"/>
      <c r="V34" s="110"/>
    </row>
    <row r="35" spans="17:23" ht="14.45" customHeight="1">
      <c r="Q35" s="107"/>
      <c r="R35" s="107"/>
      <c r="S35" s="107"/>
      <c r="T35" s="128"/>
      <c r="U35" s="110"/>
      <c r="V35" s="110"/>
    </row>
    <row r="36" spans="17:23" ht="14.45" customHeight="1">
      <c r="Q36" s="107"/>
      <c r="R36" s="128"/>
      <c r="S36" s="128"/>
      <c r="T36" s="107"/>
    </row>
    <row r="37" spans="17:23" ht="14.45" customHeight="1">
      <c r="Q37" s="107"/>
      <c r="R37" s="128"/>
      <c r="S37" s="128"/>
      <c r="T37" s="107"/>
    </row>
    <row r="38" spans="17:23" ht="14.45" customHeight="1">
      <c r="Q38" s="107"/>
      <c r="R38" s="128"/>
      <c r="S38" s="128"/>
      <c r="T38" s="107"/>
    </row>
    <row r="39" spans="17:23" ht="14.45" customHeight="1">
      <c r="Q39" s="107"/>
      <c r="R39" s="128"/>
      <c r="S39" s="128"/>
      <c r="T39" s="107"/>
    </row>
    <row r="40" spans="17:23" ht="14.45" customHeight="1">
      <c r="Q40" s="107"/>
      <c r="R40" s="107"/>
      <c r="S40" s="107"/>
      <c r="T40" s="107"/>
    </row>
    <row r="41" spans="17:23" ht="14.45" customHeight="1">
      <c r="Q41" s="107"/>
      <c r="R41" s="107"/>
      <c r="S41" s="107"/>
      <c r="T41" s="107"/>
    </row>
    <row r="42" spans="17:23" ht="14.45" customHeight="1">
      <c r="Q42" s="107"/>
      <c r="R42" s="107"/>
      <c r="S42" s="107"/>
      <c r="T42" s="107"/>
    </row>
    <row r="43" spans="17:23" ht="14.45" customHeight="1">
      <c r="Q43" s="107"/>
      <c r="R43" s="107"/>
      <c r="S43" s="107"/>
      <c r="T43" s="107"/>
    </row>
    <row r="44" spans="17:23" ht="14.45" customHeight="1">
      <c r="Q44" s="107"/>
      <c r="R44" s="107"/>
      <c r="S44" s="107"/>
      <c r="T44" s="107"/>
    </row>
    <row r="45" spans="17:23" ht="14.45" customHeight="1">
      <c r="Q45" s="107"/>
      <c r="R45" s="107"/>
      <c r="S45" s="107"/>
      <c r="T45" s="107"/>
    </row>
    <row r="46" spans="17:23" ht="14.45" customHeight="1">
      <c r="Q46" s="107"/>
      <c r="R46" s="107"/>
      <c r="S46" s="107"/>
      <c r="T46" s="107"/>
    </row>
    <row r="47" spans="17:23" ht="14.45" customHeight="1">
      <c r="Q47" s="107"/>
      <c r="R47" s="107"/>
      <c r="S47" s="107"/>
      <c r="T47" s="107"/>
    </row>
    <row r="48" spans="17:23" ht="14.45" customHeight="1">
      <c r="Q48" s="107"/>
      <c r="R48" s="107"/>
      <c r="S48" s="107"/>
      <c r="T48" s="107"/>
    </row>
    <row r="49" ht="14.45" customHeight="1"/>
    <row r="50" ht="14.45" customHeight="1"/>
    <row r="51" ht="14.45" customHeight="1"/>
    <row r="52" ht="14.45" customHeight="1"/>
    <row r="53" ht="14.45" customHeight="1"/>
    <row r="54" ht="14.45" customHeight="1"/>
    <row r="55" ht="14.45" customHeight="1"/>
    <row r="56" ht="14.45" customHeight="1"/>
    <row r="57" ht="14.45" customHeight="1"/>
    <row r="58" ht="14.45" customHeight="1"/>
    <row r="59" ht="14.45" customHeight="1"/>
    <row r="60" ht="14.45" customHeight="1"/>
    <row r="61" ht="14.45" customHeight="1"/>
    <row r="62" ht="14.45" customHeight="1"/>
    <row r="63" ht="14.45" customHeight="1"/>
    <row r="64" ht="14.45" customHeight="1"/>
    <row r="65" ht="14.45" customHeight="1"/>
    <row r="66" ht="14.45" customHeight="1"/>
    <row r="67" ht="14.45" customHeight="1"/>
    <row r="68" ht="14.45" customHeight="1"/>
    <row r="69" ht="14.45" customHeight="1"/>
    <row r="70" ht="14.45" customHeight="1"/>
    <row r="71" ht="14.45" customHeight="1"/>
    <row r="72" ht="14.45" customHeight="1"/>
    <row r="73" ht="14.45" customHeight="1"/>
    <row r="74" ht="14.45" customHeight="1"/>
    <row r="75" ht="14.45" customHeight="1"/>
    <row r="76" ht="14.45" customHeight="1"/>
    <row r="77" ht="14.45" customHeight="1"/>
    <row r="78" ht="14.45" customHeight="1"/>
    <row r="79" ht="14.45" customHeight="1"/>
    <row r="80" ht="14.45" customHeight="1"/>
    <row r="81" ht="14.45" customHeight="1"/>
    <row r="82" ht="14.45" customHeight="1"/>
    <row r="83" ht="14.45" customHeight="1"/>
    <row r="84" ht="14.45" customHeight="1"/>
    <row r="85" ht="14.45" customHeight="1"/>
    <row r="86" ht="14.45" customHeight="1"/>
    <row r="87" ht="14.45" customHeight="1"/>
    <row r="88" ht="14.45" customHeight="1"/>
    <row r="89" ht="14.45" customHeight="1"/>
    <row r="90" ht="14.45" customHeight="1"/>
    <row r="91" ht="14.45" customHeight="1"/>
    <row r="92" ht="14.45" customHeight="1"/>
    <row r="93" ht="14.45" customHeight="1"/>
    <row r="94" ht="14.45" customHeight="1"/>
    <row r="95" ht="14.45" customHeight="1"/>
    <row r="96" ht="14.45" customHeight="1"/>
    <row r="97" ht="14.45" customHeight="1"/>
    <row r="98" ht="14.45" customHeight="1"/>
    <row r="99" ht="14.45" customHeight="1"/>
    <row r="100" ht="14.45" customHeight="1"/>
    <row r="101" ht="14.45" customHeight="1"/>
    <row r="102" ht="14.45" customHeight="1"/>
    <row r="103" ht="14.45" customHeight="1"/>
    <row r="104" ht="14.45" customHeight="1"/>
    <row r="105" ht="14.45" customHeight="1"/>
    <row r="106" ht="14.45" customHeight="1"/>
    <row r="107" ht="14.45" customHeight="1"/>
    <row r="108" ht="14.45" customHeight="1"/>
    <row r="109" ht="14.45" customHeight="1"/>
    <row r="110" ht="14.45" customHeight="1"/>
    <row r="111" ht="14.45" customHeight="1"/>
    <row r="112" ht="14.45" customHeight="1"/>
  </sheetData>
  <mergeCells count="3">
    <mergeCell ref="B2:D4"/>
    <mergeCell ref="C6:K7"/>
    <mergeCell ref="L6:P7"/>
  </mergeCells>
  <phoneticPr fontId="13" type="noConversion"/>
  <dataValidations count="2">
    <dataValidation type="decimal" allowBlank="1" showInputMessage="1" showErrorMessage="1" error="Data Cannot be lesser than 0" sqref="D1:D11 D14:D1048576" xr:uid="{8403770A-EEDF-4577-BDD0-DE2036B64A1A}">
      <formula1>0</formula1>
      <formula2>100000</formula2>
    </dataValidation>
    <dataValidation type="decimal" allowBlank="1" showInputMessage="1" showErrorMessage="1" error="Data cannot be lesser than 0" sqref="G1:G11 G14:G1048576" xr:uid="{F3F5C9BD-D535-487A-AD13-A10F436E2E72}">
      <formula1>0</formula1>
      <formula2>1000000</formula2>
    </dataValidation>
  </dataValidations>
  <pageMargins left="0.7" right="0.7" top="0.75" bottom="0.75" header="0.3" footer="0.3"/>
  <pageSetup scale="43" orientation="landscape" r:id="rId1"/>
  <drawing r:id="rId2"/>
  <tableParts count="5">
    <tablePart r:id="rId3"/>
    <tablePart r:id="rId4"/>
    <tablePart r:id="rId5"/>
    <tablePart r:id="rId6"/>
    <tablePart r:id="rId7"/>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A574B1-956F-4EDB-865F-80AFBA416ADD}">
  <sheetPr codeName="Sheet4">
    <tabColor theme="8" tint="-0.499984740745262"/>
  </sheetPr>
  <dimension ref="A2:P27"/>
  <sheetViews>
    <sheetView topLeftCell="B1" zoomScale="90" zoomScaleNormal="90" workbookViewId="0">
      <selection activeCell="K13" sqref="K13"/>
    </sheetView>
  </sheetViews>
  <sheetFormatPr defaultColWidth="8.85546875" defaultRowHeight="14.45"/>
  <cols>
    <col min="1" max="1" width="50.28515625" style="2" customWidth="1"/>
    <col min="2" max="2" width="42.42578125" style="2" customWidth="1"/>
    <col min="3" max="3" width="16.85546875" style="2" customWidth="1"/>
    <col min="4" max="4" width="23" style="2" customWidth="1"/>
    <col min="5" max="5" width="19" style="2" customWidth="1"/>
    <col min="6" max="6" width="14.42578125" style="2" customWidth="1"/>
    <col min="7" max="7" width="18.85546875" style="2" customWidth="1"/>
    <col min="8" max="8" width="15.140625" style="2" customWidth="1"/>
    <col min="9" max="10" width="8.85546875" style="2"/>
    <col min="11" max="11" width="17.140625" style="2" customWidth="1"/>
    <col min="12" max="13" width="8.85546875" style="2"/>
    <col min="14" max="14" width="39.42578125" style="2" customWidth="1"/>
    <col min="15" max="15" width="15.42578125" style="2" customWidth="1"/>
    <col min="16" max="16384" width="8.85546875" style="2"/>
  </cols>
  <sheetData>
    <row r="2" spans="1:16">
      <c r="A2" s="140" t="s">
        <v>32</v>
      </c>
      <c r="B2" s="138" t="s">
        <v>33</v>
      </c>
      <c r="C2" s="138"/>
      <c r="D2" s="138"/>
      <c r="G2" s="3"/>
      <c r="M2" s="114"/>
      <c r="N2" s="114"/>
      <c r="O2" s="114"/>
      <c r="P2" s="114"/>
    </row>
    <row r="3" spans="1:16" ht="12.6" customHeight="1">
      <c r="A3" s="140"/>
      <c r="B3" s="138"/>
      <c r="C3" s="138"/>
      <c r="D3" s="138"/>
      <c r="F3" s="4" t="s">
        <v>2</v>
      </c>
      <c r="G3" s="3"/>
      <c r="K3" s="92">
        <f ca="1">TODAY()</f>
        <v>44571</v>
      </c>
      <c r="M3" s="114"/>
      <c r="N3" s="115" t="s">
        <v>34</v>
      </c>
      <c r="O3" s="115" t="s">
        <v>35</v>
      </c>
      <c r="P3" s="114"/>
    </row>
    <row r="4" spans="1:16" ht="11.1" customHeight="1" thickBot="1">
      <c r="A4" s="140"/>
      <c r="B4" s="139"/>
      <c r="C4" s="139"/>
      <c r="D4" s="139"/>
      <c r="E4" s="5"/>
      <c r="F4" s="5"/>
      <c r="G4" s="6"/>
      <c r="H4" s="5"/>
      <c r="I4" s="5"/>
      <c r="J4" s="5"/>
      <c r="K4" s="5"/>
      <c r="M4" s="114"/>
      <c r="N4" s="115" t="str" cm="1">
        <f t="array" ref="N4:N7">_xlfn.UNIQUE(D11:D14)</f>
        <v>Pharmaceuticals</v>
      </c>
      <c r="O4" s="115" cm="1">
        <f t="array" ref="O4:O7">SUMIF(D11:D14,_xlfn.ANCHORARRAY(N4),F11:F14)</f>
        <v>3056</v>
      </c>
      <c r="P4" s="114"/>
    </row>
    <row r="5" spans="1:16">
      <c r="M5" s="114"/>
      <c r="N5" s="115" t="str">
        <v>Textiles &amp; Apparel</v>
      </c>
      <c r="O5" s="115">
        <v>3740.25</v>
      </c>
      <c r="P5" s="114"/>
    </row>
    <row r="6" spans="1:16">
      <c r="M6" s="114"/>
      <c r="N6" s="115" t="str">
        <v>Software &amp; IT Services</v>
      </c>
      <c r="O6" s="115">
        <v>2740.34</v>
      </c>
      <c r="P6" s="114"/>
    </row>
    <row r="7" spans="1:16">
      <c r="M7" s="114"/>
      <c r="N7" s="115" t="str">
        <v>Computers, Phones &amp; Household Electronics</v>
      </c>
      <c r="O7" s="115">
        <v>2582.5499999999997</v>
      </c>
      <c r="P7" s="114"/>
    </row>
    <row r="8" spans="1:16" ht="21">
      <c r="B8" s="22" t="s">
        <v>36</v>
      </c>
      <c r="C8" s="15"/>
      <c r="D8" s="15"/>
      <c r="E8" s="15"/>
      <c r="F8" s="15"/>
      <c r="G8" s="15" t="e" vm="1">
        <v>#VALUE!</v>
      </c>
      <c r="H8" s="15" t="str" cm="1">
        <f t="array" ref="H8">TEXT(_FV(G8,"Price"),IF(_FV(G8,"Price")-_FV(G8,"Previous close",TRUE)&gt;0,"$0.0000▲","$0.0000▼"))</f>
        <v>$1.3555▼</v>
      </c>
      <c r="M8" s="114"/>
      <c r="N8" s="114"/>
      <c r="O8" s="114"/>
      <c r="P8" s="114"/>
    </row>
    <row r="9" spans="1:16" ht="18.600000000000001">
      <c r="B9" s="14"/>
      <c r="C9" s="15"/>
      <c r="D9" s="15"/>
      <c r="E9" s="16" t="s">
        <v>37</v>
      </c>
      <c r="F9" s="23">
        <f>SUM(F11:F101)</f>
        <v>21503.564999999999</v>
      </c>
      <c r="G9" s="16" t="s">
        <v>38</v>
      </c>
      <c r="H9" s="15">
        <f>SUM(H10:H101)</f>
        <v>1291.5649999999991</v>
      </c>
      <c r="M9" s="114"/>
      <c r="N9" s="114"/>
      <c r="O9" s="114"/>
      <c r="P9" s="114"/>
    </row>
    <row r="10" spans="1:16">
      <c r="B10" s="21" t="s">
        <v>39</v>
      </c>
      <c r="C10" s="21" t="s">
        <v>40</v>
      </c>
      <c r="D10" s="21" t="s">
        <v>34</v>
      </c>
      <c r="E10" s="21" t="s">
        <v>41</v>
      </c>
      <c r="F10" s="21" t="s">
        <v>42</v>
      </c>
      <c r="G10" s="21" t="s">
        <v>43</v>
      </c>
      <c r="H10" s="21" t="s">
        <v>44</v>
      </c>
      <c r="M10" s="114"/>
      <c r="N10" s="114"/>
      <c r="O10" s="114"/>
      <c r="P10" s="114"/>
    </row>
    <row r="11" spans="1:16" ht="17.25" customHeight="1">
      <c r="B11" s="17" t="e" cm="1" vm="2">
        <f t="array" ref="B11:B20">_xlfn._xlws.SORT(_xlfn.UNIQUE(_xlfn._xlws.FILTER(Table5[Stock],SUMIF(Table5[Stock],Table5[Stock],Table5[Units])&lt;&gt;0)))</f>
        <v>#VALUE!</v>
      </c>
      <c r="C11" s="17" cm="1">
        <f t="array" ref="C11:C20">SUMIF(Table5[Stock],_xlfn.ANCHORARRAY(B11),Table5[Units])</f>
        <v>2</v>
      </c>
      <c r="D11" s="17" t="str" cm="1">
        <f t="array" ref="D11">IFERROR(_FV(Investments!$B11,"Industry"),"")</f>
        <v>Pharmaceuticals</v>
      </c>
      <c r="E11" s="18" cm="1">
        <f t="array" ref="E11">IFERROR(_FV(Investments!$B11,"Price"),"")</f>
        <v>1528</v>
      </c>
      <c r="F11" s="19">
        <f t="shared" ref="F11:F12" si="0">IFERROR(E11*C11,"")</f>
        <v>3056</v>
      </c>
      <c r="G11" s="19" cm="1">
        <f t="array" ref="G11">IFERROR(_FV(Investments!$B11,"Change")*C11,"")</f>
        <v>-46.66</v>
      </c>
      <c r="H11" s="20">
        <f>-SUMIF(Table5[Stock],B11,Table5[Transaction Amount])+F11</f>
        <v>2856</v>
      </c>
      <c r="N11" s="113"/>
      <c r="O11" s="113"/>
    </row>
    <row r="12" spans="1:16" ht="18" customHeight="1">
      <c r="B12" s="17" t="e" vm="3">
        <v>#VALUE!</v>
      </c>
      <c r="C12" s="17">
        <v>15</v>
      </c>
      <c r="D12" s="17" t="str" cm="1">
        <f t="array" ref="D12">IFERROR(_FV(Investments!$B12,"Industry"),"")</f>
        <v>Textiles &amp; Apparel</v>
      </c>
      <c r="E12" s="18" cm="1">
        <f t="array" ref="E12">IFERROR(_FV(Investments!$B12,"Price"),"")</f>
        <v>249.35</v>
      </c>
      <c r="F12" s="19">
        <f t="shared" si="0"/>
        <v>3740.25</v>
      </c>
      <c r="G12" s="19" cm="1">
        <f t="array" ref="G12">IFERROR(_FV(Investments!$B12,"Change")*C12,"")</f>
        <v>-58.5</v>
      </c>
      <c r="H12" s="20">
        <f>-SUMIF(Table5[Stock],B12,Table5[Transaction Amount])+F12</f>
        <v>2240.25</v>
      </c>
      <c r="N12" s="113"/>
      <c r="O12" s="113"/>
    </row>
    <row r="13" spans="1:16" ht="18" customHeight="1">
      <c r="B13" s="17" t="e" vm="4">
        <v>#VALUE!</v>
      </c>
      <c r="C13" s="17">
        <v>1</v>
      </c>
      <c r="D13" s="17" t="str" cm="1">
        <f t="array" ref="D13">IFERROR(_FV(Investments!$B13,"Industry"),"")</f>
        <v>Software &amp; IT Services</v>
      </c>
      <c r="E13" s="18" cm="1">
        <f t="array" ref="E13">IFERROR(_FV(Investments!$B13,"Price"),"")</f>
        <v>2740.34</v>
      </c>
      <c r="F13" s="19">
        <f>IFERROR(E13*C13,"")</f>
        <v>2740.34</v>
      </c>
      <c r="G13" s="19" cm="1">
        <f t="array" ref="G13">IFERROR(_FV(Investments!$B13,"Change")*C13,"")</f>
        <v>-14.61</v>
      </c>
      <c r="H13" s="20">
        <f>-SUMIF(Table5[Stock],B13,Table5[Transaction Amount])+F13</f>
        <v>640.34000000000015</v>
      </c>
    </row>
    <row r="14" spans="1:16" ht="15.75" customHeight="1">
      <c r="B14" s="17" t="e" vm="5">
        <v>#VALUE!</v>
      </c>
      <c r="C14" s="17">
        <v>15</v>
      </c>
      <c r="D14" s="17" t="str" cm="1">
        <f t="array" ref="D14">IFERROR(_FV(Investments!$B14,"Industry"),"")</f>
        <v>Computers, Phones &amp; Household Electronics</v>
      </c>
      <c r="E14" s="18" cm="1">
        <f t="array" ref="E14">IFERROR(_FV(Investments!$B14,"Price"),"")</f>
        <v>172.17</v>
      </c>
      <c r="F14" s="19">
        <f>IFERROR(E14*C14,"")</f>
        <v>2582.5499999999997</v>
      </c>
      <c r="G14" s="19" cm="1">
        <f t="array" ref="G14">IFERROR(_FV(Investments!$B14,"Change")*C14,"")</f>
        <v>2.5500000000000003</v>
      </c>
      <c r="H14" s="20">
        <f>-SUMIF(Table5[Stock],B14,Table5[Transaction Amount])+F14</f>
        <v>1082.5499999999997</v>
      </c>
    </row>
    <row r="15" spans="1:16" ht="17.25" customHeight="1">
      <c r="B15" s="17" t="e" vm="6">
        <v>#VALUE!</v>
      </c>
      <c r="C15" s="17">
        <v>15</v>
      </c>
      <c r="D15" s="17" t="str" cm="1">
        <f t="array" ref="D15">IFERROR(_FV(Investments!$B15,"Industry"),"")</f>
        <v>Miscellaneous Educational Service Providers</v>
      </c>
      <c r="E15" s="18" cm="1">
        <f t="array" ref="E15">IFERROR(_FV(Investments!$B15,"Price"),"")</f>
        <v>0.16</v>
      </c>
      <c r="F15" s="19">
        <f t="shared" ref="F15" si="1">IFERROR(E15*C15,"")</f>
        <v>2.4</v>
      </c>
      <c r="G15" s="19" cm="1">
        <f t="array" ref="G15">IFERROR(_FV(Investments!$B15,"Change")*C15,"")</f>
        <v>0</v>
      </c>
      <c r="H15" s="20">
        <f>-SUMIF(Table5[Stock],B15,Table5[Transaction Amount])+F15</f>
        <v>-1497.6</v>
      </c>
    </row>
    <row r="16" spans="1:16" ht="17.25" customHeight="1">
      <c r="B16" s="17" t="e" vm="7">
        <v>#VALUE!</v>
      </c>
      <c r="C16" s="17">
        <v>15</v>
      </c>
      <c r="D16" s="17" t="str" cm="1">
        <f t="array" ref="D16">IFERROR(_FV(Investments!$B16,"Industry"),"")</f>
        <v>Computers, Phones &amp; Household Electronics</v>
      </c>
      <c r="E16" s="18" cm="1">
        <f t="array" ref="E16">IFERROR(_FV(Investments!$B16,"Price"),"")</f>
        <v>57.99</v>
      </c>
      <c r="F16" s="19">
        <f>IFERROR(E16*C16,"")</f>
        <v>869.85</v>
      </c>
      <c r="G16" s="19" cm="1">
        <f t="array" ref="G16">IFERROR(_FV(Investments!$B16,"Change")*C16,"")</f>
        <v>-0.75</v>
      </c>
      <c r="H16" s="20">
        <f>-SUMIF(Table5[Stock],B16,Table5[Transaction Amount])+F16</f>
        <v>-630.15</v>
      </c>
    </row>
    <row r="17" spans="1:12" ht="18" customHeight="1">
      <c r="B17" s="17" t="e" vm="8">
        <v>#VALUE!</v>
      </c>
      <c r="C17" s="17">
        <v>25</v>
      </c>
      <c r="D17" s="17" t="str" cm="1">
        <f t="array" ref="D17">IFERROR(_FV(Investments!$B17,"Industry"),"")</f>
        <v>Consumer Goods Conglomerates</v>
      </c>
      <c r="E17" s="18" cm="1">
        <f t="array" ref="E17">IFERROR(_FV(Investments!$B17,"Price"),"")</f>
        <v>215.75</v>
      </c>
      <c r="F17" s="19">
        <f>IFERROR(E17*C17,"")</f>
        <v>5393.75</v>
      </c>
      <c r="G17" s="19" cm="1">
        <f t="array" ref="G17">IFERROR(_FV(Investments!$B17,"Change")*C17,"")</f>
        <v>123.25</v>
      </c>
      <c r="H17" s="20">
        <f>-SUMIF(Table5[Stock],B17,Table5[Transaction Amount])+F17</f>
        <v>-856.25</v>
      </c>
    </row>
    <row r="18" spans="1:12" ht="16.5" customHeight="1">
      <c r="B18" s="17" t="e" vm="9">
        <v>#VALUE!</v>
      </c>
      <c r="C18" s="17">
        <v>15</v>
      </c>
      <c r="D18" s="17" t="str" cm="1">
        <f t="array" ref="D18">IFERROR(_FV(Investments!$B18,"Industry"),"")</f>
        <v>Computers, Phones &amp; Household Electronics</v>
      </c>
      <c r="E18" s="18" cm="1">
        <f t="array" ref="E18">IFERROR(_FV(Investments!$B18,"Price"),"")</f>
        <v>1.0129999999999999</v>
      </c>
      <c r="F18" s="19">
        <f>IFERROR(E18*C18,"")</f>
        <v>15.194999999999999</v>
      </c>
      <c r="G18" s="19" cm="1">
        <f t="array" ref="G18">IFERROR(_FV(Investments!$B18,"Change")*C18,"")</f>
        <v>6.7499999999999991E-2</v>
      </c>
      <c r="H18" s="20">
        <f>-SUMIF(Table5[Stock],B18,Table5[Transaction Amount])+F18</f>
        <v>-1484.8050000000001</v>
      </c>
    </row>
    <row r="19" spans="1:12" ht="17.25" customHeight="1">
      <c r="B19" s="17" t="e" vm="10">
        <v>#VALUE!</v>
      </c>
      <c r="C19" s="17">
        <v>7</v>
      </c>
      <c r="D19" s="17" t="str" cm="1">
        <f t="array" ref="D19">IFERROR(_FV(Investments!$B19,"Industry"),"")</f>
        <v>Software &amp; IT Services</v>
      </c>
      <c r="E19" s="18" cm="1">
        <f t="array" ref="E19">IFERROR(_FV(Investments!$B19,"Price"),"")</f>
        <v>314.04000000000002</v>
      </c>
      <c r="F19" s="19">
        <f>IFERROR(E19*C19,"")</f>
        <v>2198.2800000000002</v>
      </c>
      <c r="G19" s="19" cm="1">
        <f t="array" ref="G19">IFERROR(_FV(Investments!$B19,"Change")*C19,"")</f>
        <v>1.1200000000000001</v>
      </c>
      <c r="H19" s="20">
        <f>-SUMIF(Table5[Stock],B19,Table5[Transaction Amount])+F19</f>
        <v>-463.7199999999998</v>
      </c>
    </row>
    <row r="20" spans="1:12">
      <c r="B20" s="2" t="e" vm="11">
        <v>#VALUE!</v>
      </c>
      <c r="C20" s="2">
        <v>15</v>
      </c>
      <c r="D20" s="17" t="str" cm="1">
        <f t="array" ref="D20">IFERROR(_FV(Investments!$B20,"Industry"),"")</f>
        <v>Beverages</v>
      </c>
      <c r="E20" s="18" cm="1">
        <f t="array" ref="E20">IFERROR(_FV(Investments!$B20,"Price"),"")</f>
        <v>60.33</v>
      </c>
      <c r="F20" s="19">
        <f>IFERROR(E20*C20,"")</f>
        <v>904.94999999999993</v>
      </c>
      <c r="G20" s="19" cm="1">
        <f t="array" ref="G20">IFERROR(_FV(Investments!$B20,"Change")*C20,"")</f>
        <v>-2.1</v>
      </c>
      <c r="H20" s="20">
        <f>-SUMIF(Table5[Stock],B20,Table5[Transaction Amount])+F20</f>
        <v>-595.05000000000007</v>
      </c>
    </row>
    <row r="23" spans="1:12">
      <c r="L23" s="2" t="s">
        <v>45</v>
      </c>
    </row>
    <row r="27" spans="1:12">
      <c r="A27" s="126" t="s">
        <v>46</v>
      </c>
    </row>
  </sheetData>
  <mergeCells count="2">
    <mergeCell ref="B2:D4"/>
    <mergeCell ref="A2:A4"/>
  </mergeCells>
  <conditionalFormatting sqref="F11:F13">
    <cfRule type="dataBar" priority="5">
      <dataBar>
        <cfvo type="min"/>
        <cfvo type="max"/>
        <color rgb="FF638EC6"/>
      </dataBar>
      <extLst>
        <ext xmlns:x14="http://schemas.microsoft.com/office/spreadsheetml/2009/9/main" uri="{B025F937-C7B1-47D3-B67F-A62EFF666E3E}">
          <x14:id>{ED267DAF-ED73-46DB-8BEF-DBEF8AB08A26}</x14:id>
        </ext>
      </extLst>
    </cfRule>
  </conditionalFormatting>
  <conditionalFormatting sqref="F14">
    <cfRule type="dataBar" priority="4">
      <dataBar>
        <cfvo type="min"/>
        <cfvo type="max"/>
        <color rgb="FF638EC6"/>
      </dataBar>
      <extLst>
        <ext xmlns:x14="http://schemas.microsoft.com/office/spreadsheetml/2009/9/main" uri="{B025F937-C7B1-47D3-B67F-A62EFF666E3E}">
          <x14:id>{7969B281-A4C2-4017-8A59-E00E7DDD2E59}</x14:id>
        </ext>
      </extLst>
    </cfRule>
  </conditionalFormatting>
  <conditionalFormatting sqref="F11:F14">
    <cfRule type="dataBar" priority="3">
      <dataBar>
        <cfvo type="min"/>
        <cfvo type="max"/>
        <color rgb="FF638EC6"/>
      </dataBar>
      <extLst>
        <ext xmlns:x14="http://schemas.microsoft.com/office/spreadsheetml/2009/9/main" uri="{B025F937-C7B1-47D3-B67F-A62EFF666E3E}">
          <x14:id>{448267F8-B354-40EA-806A-497629E57E8D}</x14:id>
        </ext>
      </extLst>
    </cfRule>
  </conditionalFormatting>
  <conditionalFormatting sqref="C24:C25">
    <cfRule type="dataBar" priority="2">
      <dataBar>
        <cfvo type="min"/>
        <cfvo type="max"/>
        <color rgb="FF638EC6"/>
      </dataBar>
      <extLst>
        <ext xmlns:x14="http://schemas.microsoft.com/office/spreadsheetml/2009/9/main" uri="{B025F937-C7B1-47D3-B67F-A62EFF666E3E}">
          <x14:id>{34FD818A-137E-4D66-9C86-E453BBEFFEBB}</x14:id>
        </ext>
      </extLst>
    </cfRule>
  </conditionalFormatting>
  <conditionalFormatting sqref="F15:F20">
    <cfRule type="dataBar" priority="1">
      <dataBar>
        <cfvo type="min"/>
        <cfvo type="max"/>
        <color rgb="FF638EC6"/>
      </dataBar>
      <extLst>
        <ext xmlns:x14="http://schemas.microsoft.com/office/spreadsheetml/2009/9/main" uri="{B025F937-C7B1-47D3-B67F-A62EFF666E3E}">
          <x14:id>{930A1FEB-2004-4D3C-A21F-B3EE634AFE85}</x14:id>
        </ext>
      </extLst>
    </cfRule>
  </conditionalFormatting>
  <pageMargins left="0.7" right="0.7" top="0.75" bottom="0.75" header="0.3" footer="0.3"/>
  <pageSetup scale="38" orientation="landscape" r:id="rId1"/>
  <drawing r:id="rId2"/>
  <extLst>
    <ext xmlns:x14="http://schemas.microsoft.com/office/spreadsheetml/2009/9/main" uri="{78C0D931-6437-407d-A8EE-F0AAD7539E65}">
      <x14:conditionalFormattings>
        <x14:conditionalFormatting xmlns:xm="http://schemas.microsoft.com/office/excel/2006/main">
          <x14:cfRule type="dataBar" id="{ED267DAF-ED73-46DB-8BEF-DBEF8AB08A26}">
            <x14:dataBar minLength="0" maxLength="100" gradient="0">
              <x14:cfvo type="autoMin"/>
              <x14:cfvo type="autoMax"/>
              <x14:negativeFillColor rgb="FFFF0000"/>
              <x14:axisColor rgb="FF000000"/>
            </x14:dataBar>
          </x14:cfRule>
          <xm:sqref>F11:F13</xm:sqref>
        </x14:conditionalFormatting>
        <x14:conditionalFormatting xmlns:xm="http://schemas.microsoft.com/office/excel/2006/main">
          <x14:cfRule type="dataBar" id="{7969B281-A4C2-4017-8A59-E00E7DDD2E59}">
            <x14:dataBar minLength="0" maxLength="100" gradient="0">
              <x14:cfvo type="autoMin"/>
              <x14:cfvo type="autoMax"/>
              <x14:negativeFillColor rgb="FFFF0000"/>
              <x14:axisColor rgb="FF000000"/>
            </x14:dataBar>
          </x14:cfRule>
          <xm:sqref>F14</xm:sqref>
        </x14:conditionalFormatting>
        <x14:conditionalFormatting xmlns:xm="http://schemas.microsoft.com/office/excel/2006/main">
          <x14:cfRule type="dataBar" id="{448267F8-B354-40EA-806A-497629E57E8D}">
            <x14:dataBar minLength="0" maxLength="100" gradient="0">
              <x14:cfvo type="autoMin"/>
              <x14:cfvo type="autoMax"/>
              <x14:negativeFillColor rgb="FFFF0000"/>
              <x14:axisColor rgb="FF000000"/>
            </x14:dataBar>
          </x14:cfRule>
          <xm:sqref>F11:F14</xm:sqref>
        </x14:conditionalFormatting>
        <x14:conditionalFormatting xmlns:xm="http://schemas.microsoft.com/office/excel/2006/main">
          <x14:cfRule type="dataBar" id="{34FD818A-137E-4D66-9C86-E453BBEFFEBB}">
            <x14:dataBar minLength="0" maxLength="100" gradient="0">
              <x14:cfvo type="autoMin"/>
              <x14:cfvo type="autoMax"/>
              <x14:negativeFillColor rgb="FFFF0000"/>
              <x14:axisColor rgb="FF000000"/>
            </x14:dataBar>
          </x14:cfRule>
          <xm:sqref>C24:C25</xm:sqref>
        </x14:conditionalFormatting>
        <x14:conditionalFormatting xmlns:xm="http://schemas.microsoft.com/office/excel/2006/main">
          <x14:cfRule type="dataBar" id="{930A1FEB-2004-4D3C-A21F-B3EE634AFE85}">
            <x14:dataBar minLength="0" maxLength="100" gradient="0" negativeBarColorSameAsPositive="1" axisPosition="none">
              <x14:cfvo type="autoMin"/>
              <x14:cfvo type="autoMax"/>
            </x14:dataBar>
          </x14:cfRule>
          <xm:sqref>F15:F20</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EF3B8C-785F-46F8-9390-04171C4F22FF}">
  <sheetPr codeName="Sheet7">
    <tabColor theme="8" tint="0.59999389629810485"/>
  </sheetPr>
  <dimension ref="A1:G66"/>
  <sheetViews>
    <sheetView zoomScale="110" zoomScaleNormal="110" workbookViewId="0">
      <selection activeCell="G8" sqref="G8"/>
    </sheetView>
  </sheetViews>
  <sheetFormatPr defaultColWidth="9.140625" defaultRowHeight="14.45"/>
  <cols>
    <col min="1" max="1" width="48.42578125" style="52" customWidth="1"/>
    <col min="2" max="2" width="12.42578125" style="52" customWidth="1"/>
    <col min="3" max="3" width="13.42578125" style="52" customWidth="1"/>
    <col min="4" max="4" width="12.42578125" style="52" customWidth="1"/>
    <col min="5" max="5" width="14.42578125" style="52" customWidth="1"/>
    <col min="6" max="6" width="23.42578125" style="52" customWidth="1"/>
    <col min="7" max="16384" width="9.140625" style="52"/>
  </cols>
  <sheetData>
    <row r="1" spans="1:7">
      <c r="A1" s="141" t="s">
        <v>47</v>
      </c>
      <c r="B1" s="141"/>
      <c r="C1" s="141"/>
    </row>
    <row r="2" spans="1:7">
      <c r="A2" s="141"/>
      <c r="B2" s="141"/>
      <c r="C2" s="141"/>
      <c r="E2" s="68" t="s">
        <v>2</v>
      </c>
    </row>
    <row r="3" spans="1:7">
      <c r="A3" s="141"/>
      <c r="B3" s="141"/>
      <c r="C3" s="141"/>
      <c r="F3" s="117"/>
    </row>
    <row r="4" spans="1:7">
      <c r="A4" s="76" t="s">
        <v>39</v>
      </c>
      <c r="B4" s="76" t="s">
        <v>48</v>
      </c>
      <c r="C4" s="76" t="s">
        <v>40</v>
      </c>
      <c r="D4" s="76" t="s">
        <v>49</v>
      </c>
      <c r="E4" s="77" t="s">
        <v>50</v>
      </c>
      <c r="F4" s="116" t="s">
        <v>51</v>
      </c>
    </row>
    <row r="5" spans="1:7">
      <c r="A5" s="69" t="e" vm="10">
        <v>#VALUE!</v>
      </c>
      <c r="B5" s="69" t="s">
        <v>52</v>
      </c>
      <c r="C5" s="69">
        <v>10</v>
      </c>
      <c r="D5" s="70">
        <v>326</v>
      </c>
      <c r="E5" s="71" t="str" cm="1">
        <f t="array" ref="E5">_FV(Table5[[#This Row],[Stock]],"Currency")</f>
        <v>USD</v>
      </c>
      <c r="F5" s="72">
        <f t="shared" ref="F5:F9" si="0">IF(C5*D5="0.00","",C5*D5)</f>
        <v>3260</v>
      </c>
    </row>
    <row r="6" spans="1:7">
      <c r="A6" s="69" t="e" vm="10">
        <v>#VALUE!</v>
      </c>
      <c r="B6" s="69" t="s">
        <v>52</v>
      </c>
      <c r="C6" s="69">
        <v>2</v>
      </c>
      <c r="D6" s="70">
        <v>326</v>
      </c>
      <c r="E6" s="71" t="s">
        <v>53</v>
      </c>
      <c r="F6" s="72">
        <f t="shared" si="0"/>
        <v>652</v>
      </c>
      <c r="G6" s="73"/>
    </row>
    <row r="7" spans="1:7">
      <c r="A7" s="69" t="e" vm="4">
        <v>#VALUE!</v>
      </c>
      <c r="B7" s="69" t="s">
        <v>52</v>
      </c>
      <c r="C7" s="69">
        <v>1</v>
      </c>
      <c r="D7" s="70">
        <v>2100</v>
      </c>
      <c r="E7" s="71" t="s">
        <v>53</v>
      </c>
      <c r="F7" s="72">
        <f t="shared" si="0"/>
        <v>2100</v>
      </c>
    </row>
    <row r="8" spans="1:7">
      <c r="A8" s="69" t="e" vm="2">
        <v>#VALUE!</v>
      </c>
      <c r="B8" s="69" t="s">
        <v>52</v>
      </c>
      <c r="C8" s="69">
        <v>2</v>
      </c>
      <c r="D8" s="70">
        <v>100</v>
      </c>
      <c r="E8" s="71" t="s">
        <v>53</v>
      </c>
      <c r="F8" s="72">
        <f t="shared" si="0"/>
        <v>200</v>
      </c>
    </row>
    <row r="9" spans="1:7">
      <c r="A9" s="69" t="e" vm="8">
        <v>#VALUE!</v>
      </c>
      <c r="B9" s="69" t="s">
        <v>52</v>
      </c>
      <c r="C9" s="69">
        <v>25</v>
      </c>
      <c r="D9" s="70">
        <v>250</v>
      </c>
      <c r="E9" s="71" t="s">
        <v>53</v>
      </c>
      <c r="F9" s="72">
        <f t="shared" si="0"/>
        <v>6250</v>
      </c>
    </row>
    <row r="10" spans="1:7">
      <c r="A10" s="69" t="e" vm="10">
        <v>#VALUE!</v>
      </c>
      <c r="B10" s="69" t="s">
        <v>54</v>
      </c>
      <c r="C10" s="69">
        <v>-5</v>
      </c>
      <c r="D10" s="70">
        <v>250</v>
      </c>
      <c r="E10" s="71" t="s">
        <v>53</v>
      </c>
      <c r="F10" s="72">
        <f t="shared" ref="F10" si="1">IF(C10*D10="0.00","",C10*D10)</f>
        <v>-1250</v>
      </c>
    </row>
    <row r="11" spans="1:7">
      <c r="A11" s="69" t="e" vm="5">
        <v>#VALUE!</v>
      </c>
      <c r="B11" s="69" t="s">
        <v>55</v>
      </c>
      <c r="C11" s="69">
        <v>15</v>
      </c>
      <c r="D11" s="70">
        <v>100</v>
      </c>
      <c r="E11" s="71" t="s">
        <v>56</v>
      </c>
      <c r="F11" s="72">
        <f t="shared" ref="F11:F16" si="2">IF(C11*D11="0.00","",C11*D11)</f>
        <v>1500</v>
      </c>
    </row>
    <row r="12" spans="1:7">
      <c r="A12" s="69" t="e" vm="6">
        <v>#VALUE!</v>
      </c>
      <c r="B12" s="69" t="s">
        <v>52</v>
      </c>
      <c r="C12" s="69">
        <v>15</v>
      </c>
      <c r="D12" s="70">
        <v>100</v>
      </c>
      <c r="E12" s="71" t="s">
        <v>56</v>
      </c>
      <c r="F12" s="72">
        <f t="shared" si="2"/>
        <v>1500</v>
      </c>
    </row>
    <row r="13" spans="1:7">
      <c r="A13" s="74" t="e" vm="11">
        <v>#VALUE!</v>
      </c>
      <c r="B13" s="69" t="s">
        <v>52</v>
      </c>
      <c r="C13" s="69">
        <v>15</v>
      </c>
      <c r="D13" s="70">
        <v>100</v>
      </c>
      <c r="E13" s="71" t="s">
        <v>56</v>
      </c>
      <c r="F13" s="72">
        <f t="shared" si="2"/>
        <v>1500</v>
      </c>
    </row>
    <row r="14" spans="1:7">
      <c r="A14" s="69" t="e" vm="7">
        <v>#VALUE!</v>
      </c>
      <c r="B14" s="69" t="s">
        <v>52</v>
      </c>
      <c r="C14" s="69">
        <v>15</v>
      </c>
      <c r="D14" s="70">
        <v>100</v>
      </c>
      <c r="E14" s="71" t="s">
        <v>56</v>
      </c>
      <c r="F14" s="72">
        <f t="shared" si="2"/>
        <v>1500</v>
      </c>
    </row>
    <row r="15" spans="1:7">
      <c r="A15" s="69" t="e" vm="9">
        <v>#VALUE!</v>
      </c>
      <c r="B15" s="69" t="s">
        <v>52</v>
      </c>
      <c r="C15" s="69">
        <v>15</v>
      </c>
      <c r="D15" s="70">
        <v>100</v>
      </c>
      <c r="E15" s="71" t="s">
        <v>56</v>
      </c>
      <c r="F15" s="72">
        <f t="shared" si="2"/>
        <v>1500</v>
      </c>
    </row>
    <row r="16" spans="1:7">
      <c r="A16" s="69" t="e" vm="3">
        <v>#VALUE!</v>
      </c>
      <c r="B16" s="69" t="s">
        <v>52</v>
      </c>
      <c r="C16" s="69">
        <v>15</v>
      </c>
      <c r="D16" s="70">
        <v>100</v>
      </c>
      <c r="E16" s="71" t="s">
        <v>56</v>
      </c>
      <c r="F16" s="72">
        <f t="shared" si="2"/>
        <v>1500</v>
      </c>
    </row>
    <row r="17" spans="5:5">
      <c r="E17" s="75"/>
    </row>
    <row r="18" spans="5:5">
      <c r="E18" s="75"/>
    </row>
    <row r="19" spans="5:5">
      <c r="E19" s="75"/>
    </row>
    <row r="20" spans="5:5">
      <c r="E20" s="75"/>
    </row>
    <row r="21" spans="5:5">
      <c r="E21" s="75"/>
    </row>
    <row r="22" spans="5:5">
      <c r="E22" s="75"/>
    </row>
    <row r="23" spans="5:5">
      <c r="E23" s="75"/>
    </row>
    <row r="24" spans="5:5">
      <c r="E24" s="75"/>
    </row>
    <row r="25" spans="5:5">
      <c r="E25" s="75"/>
    </row>
    <row r="26" spans="5:5">
      <c r="E26" s="75"/>
    </row>
    <row r="27" spans="5:5">
      <c r="E27" s="75"/>
    </row>
    <row r="28" spans="5:5">
      <c r="E28" s="75"/>
    </row>
    <row r="29" spans="5:5">
      <c r="E29" s="75"/>
    </row>
    <row r="30" spans="5:5">
      <c r="E30" s="75"/>
    </row>
    <row r="31" spans="5:5">
      <c r="E31" s="75"/>
    </row>
    <row r="32" spans="5:5">
      <c r="E32" s="75"/>
    </row>
    <row r="33" spans="5:5">
      <c r="E33" s="75"/>
    </row>
    <row r="34" spans="5:5">
      <c r="E34" s="75"/>
    </row>
    <row r="35" spans="5:5">
      <c r="E35" s="75"/>
    </row>
    <row r="36" spans="5:5">
      <c r="E36" s="75"/>
    </row>
    <row r="37" spans="5:5">
      <c r="E37" s="75"/>
    </row>
    <row r="38" spans="5:5">
      <c r="E38" s="75"/>
    </row>
    <row r="39" spans="5:5">
      <c r="E39" s="75"/>
    </row>
    <row r="40" spans="5:5">
      <c r="E40" s="75"/>
    </row>
    <row r="41" spans="5:5">
      <c r="E41" s="75"/>
    </row>
    <row r="42" spans="5:5">
      <c r="E42" s="75"/>
    </row>
    <row r="43" spans="5:5">
      <c r="E43" s="75"/>
    </row>
    <row r="44" spans="5:5">
      <c r="E44" s="75"/>
    </row>
    <row r="45" spans="5:5">
      <c r="E45" s="75"/>
    </row>
    <row r="46" spans="5:5">
      <c r="E46" s="75"/>
    </row>
    <row r="47" spans="5:5">
      <c r="E47" s="75"/>
    </row>
    <row r="48" spans="5:5">
      <c r="E48" s="75"/>
    </row>
    <row r="49" spans="5:5">
      <c r="E49" s="75"/>
    </row>
    <row r="50" spans="5:5">
      <c r="E50" s="75"/>
    </row>
    <row r="51" spans="5:5">
      <c r="E51" s="75"/>
    </row>
    <row r="52" spans="5:5">
      <c r="E52" s="75"/>
    </row>
    <row r="53" spans="5:5">
      <c r="E53" s="75"/>
    </row>
    <row r="54" spans="5:5">
      <c r="E54" s="75"/>
    </row>
    <row r="55" spans="5:5">
      <c r="E55" s="75"/>
    </row>
    <row r="56" spans="5:5">
      <c r="E56" s="75"/>
    </row>
    <row r="57" spans="5:5">
      <c r="E57" s="75"/>
    </row>
    <row r="58" spans="5:5">
      <c r="E58" s="75"/>
    </row>
    <row r="59" spans="5:5">
      <c r="E59" s="75"/>
    </row>
    <row r="60" spans="5:5">
      <c r="E60" s="75"/>
    </row>
    <row r="61" spans="5:5">
      <c r="E61" s="75"/>
    </row>
    <row r="62" spans="5:5">
      <c r="E62" s="75"/>
    </row>
    <row r="63" spans="5:5">
      <c r="E63" s="75"/>
    </row>
    <row r="64" spans="5:5">
      <c r="E64" s="75"/>
    </row>
    <row r="65" spans="5:5">
      <c r="E65" s="75"/>
    </row>
    <row r="66" spans="5:5">
      <c r="E66" s="75"/>
    </row>
  </sheetData>
  <mergeCells count="1">
    <mergeCell ref="A1:C3"/>
  </mergeCells>
  <dataValidations count="1">
    <dataValidation type="list" allowBlank="1" showInputMessage="1" showErrorMessage="1" sqref="B5:B16" xr:uid="{65172DE5-FD66-4ED6-B1DF-A8A9E21F88A0}">
      <formula1>TransactionType</formula1>
    </dataValidation>
  </dataValidations>
  <pageMargins left="0.7" right="0.7" top="0.75" bottom="0.75" header="0.3" footer="0.3"/>
  <pageSetup paperSize="9" scale="50" orientation="landscape"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7093FB-6519-4723-BE7C-0D35A25714D7}">
  <sheetPr codeName="Sheet5">
    <tabColor theme="6" tint="0.59999389629810485"/>
  </sheetPr>
  <dimension ref="B1:AD28"/>
  <sheetViews>
    <sheetView zoomScale="90" zoomScaleNormal="90" workbookViewId="0">
      <selection activeCell="E24" sqref="E24"/>
    </sheetView>
  </sheetViews>
  <sheetFormatPr defaultColWidth="8.42578125" defaultRowHeight="14.45"/>
  <cols>
    <col min="1" max="1" width="8.42578125" style="7"/>
    <col min="2" max="2" width="15.42578125" style="7" customWidth="1"/>
    <col min="3" max="3" width="11.42578125" style="7" bestFit="1" customWidth="1"/>
    <col min="4" max="4" width="14.42578125" style="7" customWidth="1"/>
    <col min="5" max="10" width="11.42578125" style="7" bestFit="1" customWidth="1"/>
    <col min="11" max="11" width="12.85546875" style="7" customWidth="1"/>
    <col min="12" max="16384" width="8.42578125" style="7"/>
  </cols>
  <sheetData>
    <row r="1" spans="2:30">
      <c r="O1" s="36"/>
      <c r="P1" s="36"/>
      <c r="Q1" s="36"/>
      <c r="R1" s="36"/>
      <c r="S1" s="36"/>
      <c r="T1" s="36"/>
      <c r="U1" s="36"/>
      <c r="V1" s="36"/>
      <c r="W1" s="36"/>
      <c r="X1" s="36"/>
      <c r="Y1" s="36"/>
      <c r="Z1" s="36"/>
      <c r="AA1" s="36"/>
      <c r="AB1" s="36"/>
      <c r="AC1" s="36"/>
      <c r="AD1" s="36"/>
    </row>
    <row r="2" spans="2:30">
      <c r="B2" s="181" t="s">
        <v>57</v>
      </c>
      <c r="C2" s="181"/>
      <c r="D2" s="181"/>
      <c r="G2" s="8"/>
      <c r="O2" s="36"/>
      <c r="P2" s="36"/>
      <c r="Q2" s="36"/>
      <c r="R2" s="36"/>
      <c r="S2" s="36"/>
      <c r="T2" s="36"/>
      <c r="U2" s="36"/>
      <c r="V2" s="36"/>
      <c r="W2" s="36"/>
      <c r="X2" s="36"/>
      <c r="Y2" s="36"/>
      <c r="Z2" s="36"/>
      <c r="AA2" s="36"/>
      <c r="AB2" s="36"/>
      <c r="AC2" s="36"/>
      <c r="AD2" s="36"/>
    </row>
    <row r="3" spans="2:30">
      <c r="B3" s="181"/>
      <c r="C3" s="181"/>
      <c r="D3" s="181"/>
      <c r="F3" s="9" t="s">
        <v>2</v>
      </c>
      <c r="G3" s="8"/>
      <c r="K3" s="93">
        <f ca="1">TODAY()</f>
        <v>44571</v>
      </c>
      <c r="O3" s="36"/>
      <c r="P3" s="36"/>
      <c r="Q3" s="36"/>
      <c r="R3" s="36"/>
      <c r="S3" s="36"/>
      <c r="T3" s="36"/>
      <c r="U3" s="36"/>
      <c r="V3" s="36"/>
      <c r="W3" s="36"/>
      <c r="X3" s="36"/>
      <c r="Y3" s="36"/>
      <c r="Z3" s="36"/>
      <c r="AA3" s="36"/>
      <c r="AB3" s="36"/>
      <c r="AC3" s="36"/>
      <c r="AD3" s="36"/>
    </row>
    <row r="4" spans="2:30">
      <c r="B4" s="182"/>
      <c r="C4" s="182"/>
      <c r="D4" s="182"/>
      <c r="E4" s="10"/>
      <c r="F4" s="10"/>
      <c r="G4" s="11"/>
      <c r="H4" s="10"/>
      <c r="I4" s="10"/>
      <c r="J4" s="10"/>
      <c r="K4" s="10"/>
      <c r="O4" s="36"/>
      <c r="P4" s="36"/>
      <c r="Q4" s="36"/>
      <c r="R4" s="36"/>
      <c r="S4" s="36"/>
      <c r="T4" s="36"/>
      <c r="U4" s="36"/>
      <c r="V4" s="36"/>
      <c r="W4" s="36"/>
      <c r="X4" s="36"/>
      <c r="Y4" s="36"/>
      <c r="Z4" s="36"/>
      <c r="AA4" s="36"/>
      <c r="AB4" s="36"/>
      <c r="AC4" s="36"/>
      <c r="AD4" s="36"/>
    </row>
    <row r="5" spans="2:30">
      <c r="O5" s="36"/>
      <c r="P5" s="36"/>
      <c r="Q5" s="36"/>
      <c r="R5" s="36"/>
      <c r="S5" s="36"/>
      <c r="T5" s="36"/>
      <c r="U5" s="36"/>
      <c r="V5" s="36"/>
      <c r="W5" s="36"/>
      <c r="X5" s="36"/>
      <c r="Y5" s="36"/>
      <c r="Z5" s="36"/>
      <c r="AA5" s="36"/>
      <c r="AB5" s="36"/>
      <c r="AC5" s="36"/>
      <c r="AD5" s="36"/>
    </row>
    <row r="6" spans="2:30">
      <c r="O6" s="36"/>
      <c r="P6" s="36"/>
      <c r="Q6" s="36"/>
      <c r="R6" s="36"/>
      <c r="S6" s="36"/>
      <c r="T6" s="36"/>
      <c r="U6" s="36"/>
      <c r="V6" s="36"/>
      <c r="W6" s="36"/>
      <c r="X6" s="36"/>
      <c r="Y6" s="36"/>
      <c r="Z6" s="36"/>
      <c r="AA6" s="36"/>
      <c r="AB6" s="36"/>
      <c r="AC6" s="36"/>
      <c r="AD6" s="36"/>
    </row>
    <row r="7" spans="2:30">
      <c r="B7" s="9" t="s">
        <v>58</v>
      </c>
      <c r="D7" s="118">
        <v>36436</v>
      </c>
      <c r="I7" s="180" t="s">
        <v>59</v>
      </c>
      <c r="J7" s="180"/>
      <c r="K7" s="180"/>
      <c r="O7" s="36"/>
      <c r="P7" s="36"/>
      <c r="Q7" s="36"/>
      <c r="R7" s="36"/>
      <c r="S7" s="36"/>
      <c r="T7" s="36"/>
      <c r="U7" s="36"/>
      <c r="V7" s="36"/>
      <c r="W7" s="36"/>
      <c r="X7" s="36"/>
      <c r="Y7" s="36"/>
      <c r="Z7" s="36"/>
      <c r="AA7" s="36"/>
      <c r="AB7" s="36"/>
      <c r="AC7" s="36"/>
      <c r="AD7" s="36"/>
    </row>
    <row r="8" spans="2:30">
      <c r="B8" s="9"/>
      <c r="O8" s="36"/>
      <c r="P8" s="36"/>
      <c r="Q8" s="36"/>
      <c r="R8" s="36"/>
      <c r="S8" s="36"/>
      <c r="T8" s="36"/>
      <c r="U8" s="36"/>
      <c r="V8" s="36"/>
      <c r="W8" s="36"/>
      <c r="X8" s="36"/>
      <c r="Y8" s="36"/>
      <c r="Z8" s="36"/>
      <c r="AA8" s="36"/>
      <c r="AB8" s="36"/>
      <c r="AC8" s="36"/>
      <c r="AD8" s="36"/>
    </row>
    <row r="9" spans="2:30">
      <c r="B9" s="9" t="s">
        <v>60</v>
      </c>
      <c r="D9" s="12">
        <f ca="1">INT((K3-D7)/365)</f>
        <v>22</v>
      </c>
      <c r="O9" s="36"/>
      <c r="P9" s="36"/>
      <c r="Q9" s="36"/>
      <c r="R9" s="36"/>
      <c r="S9" s="36"/>
      <c r="T9" s="36"/>
      <c r="U9" s="36"/>
      <c r="V9" s="36"/>
      <c r="W9" s="36"/>
      <c r="X9" s="36"/>
      <c r="Y9" s="36"/>
      <c r="Z9" s="36"/>
      <c r="AA9" s="36"/>
      <c r="AB9" s="36"/>
      <c r="AC9" s="36"/>
      <c r="AD9" s="36"/>
    </row>
    <row r="10" spans="2:30">
      <c r="O10" s="36"/>
      <c r="P10" s="36"/>
      <c r="Q10" s="36"/>
      <c r="R10" s="36"/>
      <c r="S10" s="36"/>
      <c r="T10" s="36"/>
      <c r="U10" s="36"/>
      <c r="V10" s="36"/>
      <c r="W10" s="36"/>
      <c r="X10" s="36"/>
      <c r="Y10" s="36"/>
      <c r="Z10" s="36"/>
      <c r="AA10" s="36"/>
      <c r="AB10" s="36"/>
      <c r="AC10" s="36"/>
      <c r="AD10" s="36"/>
    </row>
    <row r="11" spans="2:30">
      <c r="B11" s="153" t="s">
        <v>61</v>
      </c>
      <c r="C11" s="154"/>
      <c r="D11" s="154"/>
      <c r="E11" s="154"/>
      <c r="F11" s="154"/>
      <c r="G11" s="154"/>
      <c r="H11" s="154"/>
      <c r="I11" s="154"/>
      <c r="J11" s="154"/>
      <c r="K11" s="155"/>
      <c r="M11" s="153" t="s">
        <v>62</v>
      </c>
      <c r="N11" s="154"/>
      <c r="O11" s="154"/>
      <c r="P11" s="154"/>
      <c r="Q11" s="154"/>
      <c r="R11" s="155"/>
      <c r="S11" s="36"/>
      <c r="T11" s="36"/>
      <c r="U11" s="36"/>
      <c r="V11" s="36"/>
      <c r="W11" s="36"/>
      <c r="X11" s="36"/>
      <c r="Y11" s="36"/>
      <c r="Z11" s="36"/>
      <c r="AA11" s="36"/>
      <c r="AB11" s="36"/>
      <c r="AC11" s="36"/>
      <c r="AD11" s="36"/>
    </row>
    <row r="12" spans="2:30">
      <c r="B12" s="173" t="s">
        <v>16</v>
      </c>
      <c r="C12" s="174"/>
      <c r="D12" s="174"/>
      <c r="E12" s="174"/>
      <c r="F12" s="174"/>
      <c r="G12" s="175"/>
      <c r="H12" s="161" t="s">
        <v>63</v>
      </c>
      <c r="I12" s="161"/>
      <c r="J12" s="161"/>
      <c r="K12" s="162"/>
      <c r="L12" s="121"/>
      <c r="M12" s="165" t="s">
        <v>64</v>
      </c>
      <c r="N12" s="166"/>
      <c r="O12" s="166"/>
      <c r="P12" s="167" t="s">
        <v>65</v>
      </c>
      <c r="Q12" s="168"/>
      <c r="R12" s="168"/>
      <c r="S12" s="36"/>
      <c r="T12" s="36"/>
      <c r="U12" s="36"/>
      <c r="V12" s="36"/>
      <c r="W12" s="36"/>
      <c r="X12" s="36"/>
      <c r="Y12" s="36"/>
      <c r="Z12" s="36"/>
      <c r="AA12" s="36"/>
      <c r="AB12" s="36"/>
      <c r="AC12" s="36"/>
      <c r="AD12" s="36"/>
    </row>
    <row r="13" spans="2:30" ht="14.45" customHeight="1">
      <c r="B13" s="176"/>
      <c r="C13" s="177"/>
      <c r="D13" s="177"/>
      <c r="E13" s="177"/>
      <c r="F13" s="177"/>
      <c r="G13" s="178"/>
      <c r="H13" s="163"/>
      <c r="I13" s="163"/>
      <c r="J13" s="163"/>
      <c r="K13" s="164"/>
      <c r="L13" s="121"/>
      <c r="M13" s="166"/>
      <c r="N13" s="166"/>
      <c r="O13" s="166"/>
      <c r="P13" s="168"/>
      <c r="Q13" s="168"/>
      <c r="R13" s="168"/>
      <c r="S13" s="36"/>
      <c r="T13" s="36"/>
      <c r="U13" s="36"/>
      <c r="V13" s="36"/>
      <c r="W13" s="36"/>
      <c r="X13" s="36"/>
      <c r="Y13" s="36"/>
      <c r="Z13" s="36"/>
      <c r="AA13" s="36"/>
      <c r="AB13" s="36"/>
      <c r="AC13" s="36"/>
      <c r="AD13" s="36"/>
    </row>
    <row r="14" spans="2:30" ht="14.45" customHeight="1">
      <c r="B14" s="179" t="s">
        <v>66</v>
      </c>
      <c r="C14" s="179"/>
      <c r="D14" s="179" t="s">
        <v>67</v>
      </c>
      <c r="E14" s="179"/>
      <c r="F14" s="179" t="s">
        <v>68</v>
      </c>
      <c r="G14" s="179"/>
      <c r="H14" s="160" t="s">
        <v>69</v>
      </c>
      <c r="I14" s="160"/>
      <c r="J14" s="160" t="s">
        <v>70</v>
      </c>
      <c r="K14" s="160"/>
      <c r="L14" s="119"/>
      <c r="M14" s="169">
        <v>0.3</v>
      </c>
      <c r="N14" s="169"/>
      <c r="O14" s="169"/>
      <c r="P14" s="170">
        <f ca="1">M14*Assets!B22</f>
        <v>450</v>
      </c>
      <c r="Q14" s="170"/>
      <c r="R14" s="170"/>
      <c r="S14" s="36"/>
      <c r="T14" s="36"/>
      <c r="U14" s="36"/>
      <c r="V14" s="36"/>
      <c r="W14" s="36"/>
      <c r="X14" s="36"/>
      <c r="Y14" s="36"/>
      <c r="Z14" s="36"/>
      <c r="AA14" s="36"/>
      <c r="AB14" s="36"/>
      <c r="AC14" s="36"/>
      <c r="AD14" s="36"/>
    </row>
    <row r="15" spans="2:30" ht="14.45" customHeight="1">
      <c r="B15" s="159">
        <f ca="1">IF(D9&lt;=35,0.23*Assets!B22,IF(AND(D9&gt;35,D9&lt;45),Assets!B22*0.21,IF(AND(D9&gt;45,D9&lt;50),Assets!B22*0.19,IF(AND(D9&gt;50,D9&lt;55),Assets!B22*0.15,IF(AND(D9&gt;55,D9&lt;60),Assets!B22*0.12,IF(AND(D9&gt;60,D9&lt;65),Assets!B22*0.035,Assets!B22*0.01))))))</f>
        <v>345</v>
      </c>
      <c r="C15" s="159"/>
      <c r="D15" s="159">
        <f ca="1">IF(D9&lt;=35,0.06*Assets!B22,IF(AND(D9&gt;35,D9&lt;45),Assets!B22*0.07,IF(AND(D9&gt;45,D9&lt;50),Assets!B22*0.08,IF(AND(D9&gt;50,D9&lt;55),Assets!B22*0.115,IF(AND(D9&gt;55,D9&lt;60),Assets!B22*0.035,IF(AND(D9&gt;60,D9&lt;65),Assets!B22*0.025,Assets!B22*0.01))))))</f>
        <v>90</v>
      </c>
      <c r="E15" s="159"/>
      <c r="F15" s="159">
        <f ca="1">IF(D9&lt;=35,0.08*Assets!B22,IF(AND(D9&gt;35,D9&lt;45),Assets!B22*0.09,IF(AND(D9&gt;45,D9&lt;50),Assets!B22*0.1,IF(AND(D9&gt;50,D9&lt;55),Assets!B22*0.105,IF(AND(D9&gt;55,D9&lt;60),Assets!B22*0.105,IF(AND(D9&gt;60,D9&lt;65),Assets!B22*0.105,Assets!B22*0.105))))))</f>
        <v>120</v>
      </c>
      <c r="G15" s="159"/>
      <c r="H15" s="159">
        <f ca="1">IF(D9&lt;=55,Assets!B22*0.2,IF(AND(D9&gt;55,D9&lt;60),Assets!B22*0.13,IF(AND(D9&gt;60,D9&lt;65),Assets!B22*0.09,Assets!B22*0.075)))</f>
        <v>300</v>
      </c>
      <c r="I15" s="159"/>
      <c r="J15" s="159">
        <f ca="1">IF(D9&lt;=55,Assets!B22*0.17,IF(AND(D9&gt;55,D9&lt;60),Assets!B22*0.13,IF(AND(D9&gt;60,D9&lt;65),Assets!B22*0.075,Assets!B22*0.05)))</f>
        <v>255.00000000000003</v>
      </c>
      <c r="K15" s="159"/>
      <c r="L15" s="119"/>
      <c r="M15" s="169"/>
      <c r="N15" s="169"/>
      <c r="O15" s="169"/>
      <c r="P15" s="170"/>
      <c r="Q15" s="170"/>
      <c r="R15" s="170"/>
      <c r="S15" s="36"/>
      <c r="T15" s="36"/>
      <c r="U15" s="36"/>
      <c r="V15" s="36"/>
      <c r="W15" s="36"/>
      <c r="X15" s="36"/>
      <c r="Y15" s="36"/>
      <c r="Z15" s="36"/>
      <c r="AA15" s="36"/>
      <c r="AB15" s="36"/>
      <c r="AC15" s="36"/>
      <c r="AD15" s="36"/>
    </row>
    <row r="16" spans="2:30" ht="14.45" customHeight="1">
      <c r="B16" s="124"/>
      <c r="K16" s="125"/>
      <c r="L16" s="120"/>
      <c r="M16" s="122"/>
      <c r="N16" s="120"/>
      <c r="O16" s="36"/>
      <c r="P16" s="36"/>
      <c r="Q16" s="36"/>
      <c r="R16" s="123"/>
      <c r="S16" s="36"/>
      <c r="T16" s="36"/>
      <c r="U16" s="36"/>
      <c r="V16" s="36"/>
      <c r="W16" s="36"/>
      <c r="X16" s="36"/>
      <c r="Y16" s="36"/>
      <c r="Z16" s="36"/>
      <c r="AA16" s="36"/>
      <c r="AB16" s="36"/>
      <c r="AC16" s="36"/>
      <c r="AD16" s="36"/>
    </row>
    <row r="17" spans="2:30">
      <c r="B17" s="171" t="s">
        <v>71</v>
      </c>
      <c r="C17" s="171"/>
      <c r="D17" s="171"/>
      <c r="E17" s="172" t="s">
        <v>72</v>
      </c>
      <c r="F17" s="172"/>
      <c r="G17" s="172"/>
      <c r="H17" s="151" t="s">
        <v>73</v>
      </c>
      <c r="I17" s="151"/>
      <c r="J17" s="151"/>
      <c r="K17" s="151"/>
      <c r="M17" s="156" t="s">
        <v>74</v>
      </c>
      <c r="N17" s="157"/>
      <c r="O17" s="157"/>
      <c r="P17" s="157"/>
      <c r="Q17" s="157"/>
      <c r="R17" s="158"/>
      <c r="S17" s="36"/>
      <c r="T17" s="36"/>
      <c r="U17" s="36"/>
      <c r="V17" s="36"/>
      <c r="W17" s="36"/>
      <c r="X17" s="36"/>
      <c r="Y17" s="36"/>
      <c r="Z17" s="36"/>
      <c r="AA17" s="36"/>
      <c r="AB17" s="36"/>
      <c r="AC17" s="36"/>
      <c r="AD17" s="36"/>
    </row>
    <row r="18" spans="2:30">
      <c r="B18" s="152"/>
      <c r="C18" s="152"/>
      <c r="D18" s="152"/>
      <c r="E18" s="152"/>
      <c r="F18" s="152"/>
      <c r="G18" s="152"/>
      <c r="H18" s="152"/>
      <c r="I18" s="152"/>
      <c r="J18" s="152"/>
      <c r="K18" s="152"/>
      <c r="M18" s="142">
        <v>200</v>
      </c>
      <c r="N18" s="143"/>
      <c r="O18" s="143"/>
      <c r="P18" s="143"/>
      <c r="Q18" s="143"/>
      <c r="R18" s="144"/>
      <c r="S18" s="36"/>
      <c r="T18" s="36"/>
      <c r="U18" s="36"/>
      <c r="V18" s="36"/>
      <c r="W18" s="36"/>
      <c r="X18" s="36"/>
      <c r="Y18" s="36"/>
      <c r="Z18" s="36"/>
      <c r="AA18" s="36"/>
      <c r="AB18" s="36"/>
      <c r="AC18" s="36"/>
      <c r="AD18" s="36"/>
    </row>
    <row r="19" spans="2:30">
      <c r="B19" s="152"/>
      <c r="C19" s="152"/>
      <c r="D19" s="152"/>
      <c r="E19" s="152"/>
      <c r="F19" s="152"/>
      <c r="G19" s="152"/>
      <c r="H19" s="152"/>
      <c r="I19" s="152"/>
      <c r="J19" s="152"/>
      <c r="K19" s="152"/>
      <c r="M19" s="145"/>
      <c r="N19" s="146"/>
      <c r="O19" s="146"/>
      <c r="P19" s="146"/>
      <c r="Q19" s="146"/>
      <c r="R19" s="147"/>
      <c r="S19" s="36"/>
      <c r="T19" s="36"/>
      <c r="U19" s="36"/>
      <c r="V19" s="36"/>
      <c r="W19" s="36"/>
      <c r="X19" s="36"/>
      <c r="Y19" s="36"/>
      <c r="Z19" s="36"/>
      <c r="AA19" s="36"/>
      <c r="AB19" s="36"/>
      <c r="AC19" s="36"/>
      <c r="AD19" s="36"/>
    </row>
    <row r="20" spans="2:30">
      <c r="M20" s="148"/>
      <c r="N20" s="149"/>
      <c r="O20" s="149"/>
      <c r="P20" s="149"/>
      <c r="Q20" s="149"/>
      <c r="R20" s="150"/>
      <c r="S20" s="36"/>
      <c r="T20" s="36"/>
      <c r="U20" s="36"/>
      <c r="V20" s="36"/>
      <c r="W20" s="36"/>
      <c r="X20" s="36"/>
      <c r="Y20" s="36"/>
      <c r="Z20" s="36"/>
      <c r="AA20" s="36"/>
      <c r="AB20" s="36"/>
      <c r="AC20" s="36"/>
      <c r="AD20" s="36"/>
    </row>
    <row r="21" spans="2:30">
      <c r="M21" s="124"/>
      <c r="O21" s="36"/>
      <c r="P21" s="36"/>
      <c r="Q21" s="36"/>
      <c r="R21" s="123"/>
      <c r="S21" s="36"/>
      <c r="T21" s="36"/>
      <c r="U21" s="36"/>
      <c r="V21" s="36"/>
      <c r="W21" s="36"/>
      <c r="X21" s="36"/>
      <c r="Y21" s="36"/>
      <c r="Z21" s="36"/>
      <c r="AA21" s="36"/>
      <c r="AB21" s="36"/>
      <c r="AC21" s="36"/>
      <c r="AD21" s="36"/>
    </row>
    <row r="22" spans="2:30">
      <c r="M22" s="156" t="s">
        <v>75</v>
      </c>
      <c r="N22" s="157"/>
      <c r="O22" s="157"/>
      <c r="P22" s="157"/>
      <c r="Q22" s="157"/>
      <c r="R22" s="158"/>
      <c r="S22" s="36"/>
      <c r="T22" s="36"/>
      <c r="U22" s="36"/>
      <c r="V22" s="36"/>
      <c r="W22" s="36"/>
      <c r="X22" s="36"/>
      <c r="Y22" s="36"/>
      <c r="Z22" s="36"/>
      <c r="AA22" s="36"/>
      <c r="AB22" s="36"/>
      <c r="AC22" s="36"/>
      <c r="AD22" s="36"/>
    </row>
    <row r="23" spans="2:30" ht="14.45" customHeight="1">
      <c r="G23" s="101"/>
      <c r="M23" s="142">
        <f ca="1">P14-M18</f>
        <v>250</v>
      </c>
      <c r="N23" s="143"/>
      <c r="O23" s="143"/>
      <c r="P23" s="143"/>
      <c r="Q23" s="143"/>
      <c r="R23" s="144"/>
      <c r="S23" s="36"/>
      <c r="T23" s="36"/>
      <c r="U23" s="36"/>
      <c r="V23" s="36"/>
      <c r="W23" s="36"/>
      <c r="X23" s="36"/>
      <c r="Y23" s="36"/>
      <c r="Z23" s="36"/>
      <c r="AA23" s="36"/>
      <c r="AB23" s="36"/>
      <c r="AC23" s="36"/>
      <c r="AD23" s="36"/>
    </row>
    <row r="24" spans="2:30">
      <c r="M24" s="145"/>
      <c r="N24" s="146"/>
      <c r="O24" s="146"/>
      <c r="P24" s="146"/>
      <c r="Q24" s="146"/>
      <c r="R24" s="147"/>
      <c r="S24" s="36"/>
      <c r="T24" s="36"/>
      <c r="U24" s="36"/>
      <c r="V24" s="36"/>
      <c r="W24" s="36"/>
      <c r="X24" s="36"/>
      <c r="Y24" s="36"/>
      <c r="Z24" s="36"/>
      <c r="AA24" s="36"/>
      <c r="AB24" s="36"/>
      <c r="AC24" s="36"/>
      <c r="AD24" s="36"/>
    </row>
    <row r="25" spans="2:30">
      <c r="M25" s="148"/>
      <c r="N25" s="149"/>
      <c r="O25" s="149"/>
      <c r="P25" s="149"/>
      <c r="Q25" s="149"/>
      <c r="R25" s="150"/>
    </row>
    <row r="28" spans="2:30">
      <c r="E28" s="13" t="s">
        <v>76</v>
      </c>
    </row>
  </sheetData>
  <mergeCells count="30">
    <mergeCell ref="I7:K7"/>
    <mergeCell ref="B2:D4"/>
    <mergeCell ref="P14:R15"/>
    <mergeCell ref="B17:D17"/>
    <mergeCell ref="E17:G17"/>
    <mergeCell ref="B12:G13"/>
    <mergeCell ref="B14:C14"/>
    <mergeCell ref="D14:E14"/>
    <mergeCell ref="F14:G14"/>
    <mergeCell ref="B11:K11"/>
    <mergeCell ref="M11:R11"/>
    <mergeCell ref="M17:R17"/>
    <mergeCell ref="M18:R20"/>
    <mergeCell ref="M22:R22"/>
    <mergeCell ref="B15:C15"/>
    <mergeCell ref="D15:E15"/>
    <mergeCell ref="F15:G15"/>
    <mergeCell ref="H15:I15"/>
    <mergeCell ref="J15:K15"/>
    <mergeCell ref="H14:I14"/>
    <mergeCell ref="H12:K13"/>
    <mergeCell ref="J14:K14"/>
    <mergeCell ref="M12:O13"/>
    <mergeCell ref="P12:R13"/>
    <mergeCell ref="M14:O15"/>
    <mergeCell ref="M23:R25"/>
    <mergeCell ref="H17:K17"/>
    <mergeCell ref="B18:D19"/>
    <mergeCell ref="E18:G19"/>
    <mergeCell ref="H18:K19"/>
  </mergeCells>
  <pageMargins left="0.7" right="0.7" top="0.75" bottom="0.75" header="0.3" footer="0.3"/>
  <pageSetup paperSize="9" scale="43"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8A0BEC-9BD2-4362-9007-B198F883ECAC}">
  <sheetPr codeName="Sheet8"/>
  <dimension ref="A1:F25"/>
  <sheetViews>
    <sheetView topLeftCell="A4" workbookViewId="0">
      <selection activeCell="F17" sqref="F17"/>
    </sheetView>
  </sheetViews>
  <sheetFormatPr defaultRowHeight="14.45"/>
  <cols>
    <col min="1" max="1" width="9.85546875" customWidth="1"/>
    <col min="2" max="2" width="8.85546875" bestFit="1" customWidth="1"/>
    <col min="3" max="3" width="9.85546875" customWidth="1"/>
    <col min="4" max="4" width="23.5703125" customWidth="1"/>
    <col min="5" max="5" width="23.7109375" customWidth="1"/>
  </cols>
  <sheetData>
    <row r="1" spans="1:6">
      <c r="A1" t="s">
        <v>77</v>
      </c>
      <c r="B1" t="s">
        <v>78</v>
      </c>
      <c r="C1" t="s">
        <v>79</v>
      </c>
      <c r="D1" t="s">
        <v>80</v>
      </c>
      <c r="E1" t="s">
        <v>81</v>
      </c>
      <c r="F1" t="s">
        <v>82</v>
      </c>
    </row>
    <row r="2" spans="1:6">
      <c r="A2" s="103">
        <v>44562</v>
      </c>
      <c r="B2" s="59">
        <f>Calculations!C12</f>
        <v>1000</v>
      </c>
      <c r="F2" s="59">
        <f t="shared" ref="F2:F25" si="0">AVERAGE($C$14:$C$25)</f>
        <v>5586.5448033393759</v>
      </c>
    </row>
    <row r="3" spans="1:6">
      <c r="A3" s="103">
        <v>44593</v>
      </c>
      <c r="B3" s="59">
        <f>Calculations!C13</f>
        <v>1500</v>
      </c>
      <c r="F3" s="59">
        <f t="shared" si="0"/>
        <v>5586.5448033393759</v>
      </c>
    </row>
    <row r="4" spans="1:6">
      <c r="A4" s="103">
        <v>44621</v>
      </c>
      <c r="B4" s="59">
        <f>Calculations!C14</f>
        <v>2200</v>
      </c>
      <c r="F4" s="59">
        <f t="shared" si="0"/>
        <v>5586.5448033393759</v>
      </c>
    </row>
    <row r="5" spans="1:6">
      <c r="A5" s="103">
        <v>44652</v>
      </c>
      <c r="B5" s="59">
        <f>Calculations!C15</f>
        <v>3500</v>
      </c>
      <c r="F5" s="59">
        <f t="shared" si="0"/>
        <v>5586.5448033393759</v>
      </c>
    </row>
    <row r="6" spans="1:6">
      <c r="A6" s="103">
        <v>44682</v>
      </c>
      <c r="B6" s="59">
        <f>Calculations!C16</f>
        <v>2700</v>
      </c>
      <c r="F6" s="59">
        <f t="shared" si="0"/>
        <v>5586.5448033393759</v>
      </c>
    </row>
    <row r="7" spans="1:6">
      <c r="A7" s="103">
        <v>44713</v>
      </c>
      <c r="B7" s="59">
        <f>Calculations!C17</f>
        <v>3600</v>
      </c>
      <c r="F7" s="59">
        <f t="shared" si="0"/>
        <v>5586.5448033393759</v>
      </c>
    </row>
    <row r="8" spans="1:6">
      <c r="A8" s="103">
        <v>44743</v>
      </c>
      <c r="B8" s="59">
        <f>Calculations!C18</f>
        <v>3300</v>
      </c>
      <c r="F8" s="59">
        <f t="shared" si="0"/>
        <v>5586.5448033393759</v>
      </c>
    </row>
    <row r="9" spans="1:6">
      <c r="A9" s="103">
        <v>44774</v>
      </c>
      <c r="B9" s="59">
        <f>Calculations!C19</f>
        <v>2800</v>
      </c>
      <c r="F9" s="59">
        <f t="shared" si="0"/>
        <v>5586.5448033393759</v>
      </c>
    </row>
    <row r="10" spans="1:6">
      <c r="A10" s="103">
        <v>44805</v>
      </c>
      <c r="B10" s="59">
        <f>Calculations!C20</f>
        <v>1500</v>
      </c>
      <c r="F10" s="59">
        <f t="shared" si="0"/>
        <v>5586.5448033393759</v>
      </c>
    </row>
    <row r="11" spans="1:6">
      <c r="A11" s="103">
        <v>44835</v>
      </c>
      <c r="B11" s="59">
        <f>Calculations!C21</f>
        <v>2100</v>
      </c>
      <c r="F11" s="59">
        <f t="shared" si="0"/>
        <v>5586.5448033393759</v>
      </c>
    </row>
    <row r="12" spans="1:6">
      <c r="A12" s="103">
        <v>44866</v>
      </c>
      <c r="B12" s="59">
        <f>Calculations!C22</f>
        <v>3700</v>
      </c>
      <c r="F12" s="59">
        <f t="shared" si="0"/>
        <v>5586.5448033393759</v>
      </c>
    </row>
    <row r="13" spans="1:6">
      <c r="A13" s="103">
        <v>44896</v>
      </c>
      <c r="B13" s="59">
        <f>Calculations!C23</f>
        <v>5000</v>
      </c>
      <c r="C13" s="59">
        <v>3000</v>
      </c>
      <c r="D13" s="59">
        <v>3000</v>
      </c>
      <c r="E13" s="59">
        <v>3000</v>
      </c>
      <c r="F13" s="59">
        <f t="shared" si="0"/>
        <v>5586.5448033393759</v>
      </c>
    </row>
    <row r="14" spans="1:6">
      <c r="A14" s="103">
        <v>44927</v>
      </c>
      <c r="C14" s="59">
        <f>_xlfn.FORECAST.ETS(A14,$B$2:$B$13,$A$2:$A$13,3,1)</f>
        <v>4562.015198068837</v>
      </c>
      <c r="D14" s="59">
        <f>C14-_xlfn.FORECAST.ETS.CONFINT(A14,$B$2:$B$13,$A$2:$A$13,0.95,3,1)</f>
        <v>2622.666495159785</v>
      </c>
      <c r="E14" s="59">
        <f>C14+_xlfn.FORECAST.ETS.CONFINT(A14,$B$2:$B$13,$A$2:$A$13,0.95,3,1)</f>
        <v>6501.363900977889</v>
      </c>
      <c r="F14" s="59">
        <f t="shared" si="0"/>
        <v>5586.5448033393759</v>
      </c>
    </row>
    <row r="15" spans="1:6">
      <c r="A15" s="103">
        <v>44958</v>
      </c>
      <c r="C15" s="59">
        <f>_xlfn.FORECAST.ETS(A15,$B$2:$B$13,$A$2:$A$13,3,1)</f>
        <v>4513.6172529233172</v>
      </c>
      <c r="D15" s="59">
        <f>C15-_xlfn.FORECAST.ETS.CONFINT(A15,$B$2:$B$13,$A$2:$A$13,0.95,3,1)</f>
        <v>2087.1021718558791</v>
      </c>
      <c r="E15" s="59">
        <f>C15+_xlfn.FORECAST.ETS.CONFINT(A15,$B$2:$B$13,$A$2:$A$13,0.95,3,1)</f>
        <v>6940.1323339907558</v>
      </c>
      <c r="F15" s="59">
        <f t="shared" si="0"/>
        <v>5586.5448033393759</v>
      </c>
    </row>
    <row r="16" spans="1:6">
      <c r="A16" s="103">
        <v>44986</v>
      </c>
      <c r="C16" s="59">
        <f>_xlfn.FORECAST.ETS(A16,$B$2:$B$13,$A$2:$A$13,3,1)</f>
        <v>5296.221018023848</v>
      </c>
      <c r="D16" s="59">
        <f>C16-_xlfn.FORECAST.ETS.CONFINT(A16,$B$2:$B$13,$A$2:$A$13,0.95,3,1)</f>
        <v>2464.1655981433373</v>
      </c>
      <c r="E16" s="59">
        <f>C16+_xlfn.FORECAST.ETS.CONFINT(A16,$B$2:$B$13,$A$2:$A$13,0.95,3,1)</f>
        <v>8128.2764379043583</v>
      </c>
      <c r="F16" s="59">
        <f t="shared" si="0"/>
        <v>5586.5448033393759</v>
      </c>
    </row>
    <row r="17" spans="1:6">
      <c r="A17" s="103">
        <v>45017</v>
      </c>
      <c r="C17" s="59">
        <f>_xlfn.FORECAST.ETS(A17,$B$2:$B$13,$A$2:$A$13,3,1)</f>
        <v>5092.6331849581984</v>
      </c>
      <c r="D17" s="59">
        <f>C17-_xlfn.FORECAST.ETS.CONFINT(A17,$B$2:$B$13,$A$2:$A$13,0.95,3,1)</f>
        <v>1904.4607051117696</v>
      </c>
      <c r="E17" s="59">
        <f>C17+_xlfn.FORECAST.ETS.CONFINT(A17,$B$2:$B$13,$A$2:$A$13,0.95,3,1)</f>
        <v>8280.8056648046277</v>
      </c>
      <c r="F17" s="59">
        <f t="shared" si="0"/>
        <v>5586.5448033393759</v>
      </c>
    </row>
    <row r="18" spans="1:6">
      <c r="A18" s="103">
        <v>45047</v>
      </c>
      <c r="C18" s="59">
        <f>_xlfn.FORECAST.ETS(A18,$B$2:$B$13,$A$2:$A$13,3,1)</f>
        <v>5044.2352398126786</v>
      </c>
      <c r="D18" s="59">
        <f>C18-_xlfn.FORECAST.ETS.CONFINT(A18,$B$2:$B$13,$A$2:$A$13,0.95,3,1)</f>
        <v>1535.9094822431684</v>
      </c>
      <c r="E18" s="59">
        <f>C18+_xlfn.FORECAST.ETS.CONFINT(A18,$B$2:$B$13,$A$2:$A$13,0.95,3,1)</f>
        <v>8552.5609973821884</v>
      </c>
      <c r="F18" s="59">
        <f t="shared" si="0"/>
        <v>5586.5448033393759</v>
      </c>
    </row>
    <row r="19" spans="1:6">
      <c r="A19" s="103">
        <v>45078</v>
      </c>
      <c r="C19" s="59">
        <f>_xlfn.FORECAST.ETS(A19,$B$2:$B$13,$A$2:$A$13,3,1)</f>
        <v>5826.8390049132095</v>
      </c>
      <c r="D19" s="59">
        <f>C19-_xlfn.FORECAST.ETS.CONFINT(A19,$B$2:$B$13,$A$2:$A$13,0.95,3,1)</f>
        <v>2024.479413410093</v>
      </c>
      <c r="E19" s="59">
        <f>C19+_xlfn.FORECAST.ETS.CONFINT(A19,$B$2:$B$13,$A$2:$A$13,0.95,3,1)</f>
        <v>9629.198596416325</v>
      </c>
      <c r="F19" s="59">
        <f t="shared" si="0"/>
        <v>5586.5448033393759</v>
      </c>
    </row>
    <row r="20" spans="1:6">
      <c r="A20" s="103">
        <v>45108</v>
      </c>
      <c r="C20" s="59">
        <f>_xlfn.FORECAST.ETS(A20,$B$2:$B$13,$A$2:$A$13,3,1)</f>
        <v>5623.2511718475598</v>
      </c>
      <c r="D20" s="59">
        <f>C20-_xlfn.FORECAST.ETS.CONFINT(A20,$B$2:$B$13,$A$2:$A$13,0.95,3,1)</f>
        <v>1546.6207207034781</v>
      </c>
      <c r="E20" s="59">
        <f>C20+_xlfn.FORECAST.ETS.CONFINT(A20,$B$2:$B$13,$A$2:$A$13,0.95,3,1)</f>
        <v>9699.8816229916411</v>
      </c>
      <c r="F20" s="59">
        <f t="shared" si="0"/>
        <v>5586.5448033393759</v>
      </c>
    </row>
    <row r="21" spans="1:6">
      <c r="A21" s="103">
        <v>45139</v>
      </c>
      <c r="C21" s="59">
        <f>_xlfn.FORECAST.ETS(A21,$B$2:$B$13,$A$2:$A$13,3,1)</f>
        <v>5574.85322670204</v>
      </c>
      <c r="D21" s="59">
        <f>C21-_xlfn.FORECAST.ETS.CONFINT(A21,$B$2:$B$13,$A$2:$A$13,0.95,3,1)</f>
        <v>1241.2758122216374</v>
      </c>
      <c r="E21" s="59">
        <f>C21+_xlfn.FORECAST.ETS.CONFINT(A21,$B$2:$B$13,$A$2:$A$13,0.95,3,1)</f>
        <v>9908.4306411824437</v>
      </c>
      <c r="F21" s="59">
        <f t="shared" si="0"/>
        <v>5586.5448033393759</v>
      </c>
    </row>
    <row r="22" spans="1:6">
      <c r="A22" s="103">
        <v>45170</v>
      </c>
      <c r="C22" s="59">
        <f>_xlfn.FORECAST.ETS(A22,$B$2:$B$13,$A$2:$A$13,3,1)</f>
        <v>6357.45699180257</v>
      </c>
      <c r="D22" s="59">
        <f>C22-_xlfn.FORECAST.ETS.CONFINT(A22,$B$2:$B$13,$A$2:$A$13,0.95,3,1)</f>
        <v>1780.7140311668099</v>
      </c>
      <c r="E22" s="59">
        <f>C22+_xlfn.FORECAST.ETS.CONFINT(A22,$B$2:$B$13,$A$2:$A$13,0.95,3,1)</f>
        <v>10934.19995243833</v>
      </c>
      <c r="F22" s="59">
        <f t="shared" si="0"/>
        <v>5586.5448033393759</v>
      </c>
    </row>
    <row r="23" spans="1:6">
      <c r="A23" s="103">
        <v>45200</v>
      </c>
      <c r="C23" s="59">
        <f>_xlfn.FORECAST.ETS(A23,$B$2:$B$13,$A$2:$A$13,3,1)</f>
        <v>6153.8691587369203</v>
      </c>
      <c r="D23" s="59">
        <f>C23-_xlfn.FORECAST.ETS.CONFINT(A23,$B$2:$B$13,$A$2:$A$13,0.95,3,1)</f>
        <v>1345.0550937856269</v>
      </c>
      <c r="E23" s="59">
        <f>C23+_xlfn.FORECAST.ETS.CONFINT(A23,$B$2:$B$13,$A$2:$A$13,0.95,3,1)</f>
        <v>10962.683223688215</v>
      </c>
      <c r="F23" s="59">
        <f t="shared" si="0"/>
        <v>5586.5448033393759</v>
      </c>
    </row>
    <row r="24" spans="1:6">
      <c r="A24" s="103">
        <v>45231</v>
      </c>
      <c r="C24" s="59">
        <f>_xlfn.FORECAST.ETS(A24,$B$2:$B$13,$A$2:$A$13,3,1)</f>
        <v>6105.4712135914015</v>
      </c>
      <c r="D24" s="59">
        <f>C24-_xlfn.FORECAST.ETS.CONFINT(A24,$B$2:$B$13,$A$2:$A$13,0.95,3,1)</f>
        <v>1075.2814264344806</v>
      </c>
      <c r="E24" s="59">
        <f>C24+_xlfn.FORECAST.ETS.CONFINT(A24,$B$2:$B$13,$A$2:$A$13,0.95,3,1)</f>
        <v>11135.661000748321</v>
      </c>
      <c r="F24" s="59">
        <f t="shared" si="0"/>
        <v>5586.5448033393759</v>
      </c>
    </row>
    <row r="25" spans="1:6">
      <c r="A25" s="103">
        <v>45261</v>
      </c>
      <c r="C25" s="59">
        <f>_xlfn.FORECAST.ETS(A25,$B$2:$B$13,$A$2:$A$13,3,1)</f>
        <v>6888.0749786919314</v>
      </c>
      <c r="D25" s="59">
        <f>C25-_xlfn.FORECAST.ETS.CONFINT(A25,$B$2:$B$13,$A$2:$A$13,0.95,3,1)</f>
        <v>1645.3033840926191</v>
      </c>
      <c r="E25" s="59">
        <f>C25+_xlfn.FORECAST.ETS.CONFINT(A25,$B$2:$B$13,$A$2:$A$13,0.95,3,1)</f>
        <v>12130.846573291245</v>
      </c>
      <c r="F25" s="59">
        <f t="shared" si="0"/>
        <v>5586.5448033393759</v>
      </c>
    </row>
  </sheetData>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16E4E5-F626-4B34-A7D6-6041D76FD9DF}">
  <sheetPr codeName="Sheet6">
    <tabColor rgb="FF8AE6C1"/>
  </sheetPr>
  <dimension ref="A2:P104"/>
  <sheetViews>
    <sheetView zoomScale="63" zoomScaleNormal="63" workbookViewId="0">
      <selection activeCell="B91" sqref="B91:C103"/>
    </sheetView>
  </sheetViews>
  <sheetFormatPr defaultColWidth="8.85546875" defaultRowHeight="14.45"/>
  <cols>
    <col min="1" max="1" width="9.42578125" style="1" bestFit="1" customWidth="1"/>
    <col min="2" max="2" width="20.42578125" style="1" customWidth="1"/>
    <col min="3" max="3" width="16" style="1" customWidth="1"/>
    <col min="4" max="4" width="8.85546875" style="1"/>
    <col min="5" max="5" width="18.5703125" style="1" customWidth="1"/>
    <col min="6" max="6" width="17.5703125" style="1" customWidth="1"/>
    <col min="7" max="7" width="10.5703125" style="1" customWidth="1"/>
    <col min="8" max="8" width="18.140625" style="1" customWidth="1"/>
    <col min="9" max="9" width="15.42578125" style="1" bestFit="1" customWidth="1"/>
    <col min="10" max="10" width="8.85546875" style="1" customWidth="1"/>
    <col min="11" max="11" width="11.5703125" style="1" customWidth="1"/>
    <col min="12" max="16384" width="8.85546875" style="1"/>
  </cols>
  <sheetData>
    <row r="2" spans="1:16">
      <c r="B2" s="185" t="s">
        <v>83</v>
      </c>
      <c r="C2" s="185"/>
      <c r="D2" s="185"/>
      <c r="G2" s="32"/>
    </row>
    <row r="3" spans="1:16">
      <c r="B3" s="185"/>
      <c r="C3" s="185"/>
      <c r="D3" s="185"/>
      <c r="F3" s="33" t="s">
        <v>2</v>
      </c>
      <c r="G3" s="32"/>
      <c r="K3" s="94">
        <f ca="1">TODAY()</f>
        <v>44571</v>
      </c>
    </row>
    <row r="4" spans="1:16" ht="15" thickBot="1">
      <c r="B4" s="186"/>
      <c r="C4" s="186"/>
      <c r="D4" s="186"/>
      <c r="E4" s="34"/>
      <c r="F4" s="34"/>
      <c r="G4" s="35"/>
      <c r="H4" s="34"/>
      <c r="I4" s="34"/>
      <c r="J4" s="34"/>
      <c r="K4" s="34"/>
    </row>
    <row r="5" spans="1:16" ht="18.600000000000001">
      <c r="B5" s="37"/>
      <c r="C5" s="37"/>
      <c r="D5" s="37"/>
    </row>
    <row r="6" spans="1:16" ht="18.600000000000001">
      <c r="B6" s="37"/>
      <c r="C6" s="37"/>
      <c r="D6" s="37"/>
    </row>
    <row r="7" spans="1:16" ht="18.600000000000001">
      <c r="B7" s="37"/>
      <c r="C7" s="37"/>
      <c r="D7" s="37"/>
    </row>
    <row r="8" spans="1:16" ht="26.1">
      <c r="A8" s="189" t="s">
        <v>84</v>
      </c>
      <c r="B8" s="189"/>
      <c r="C8" s="189"/>
      <c r="D8" s="189"/>
      <c r="E8" s="189"/>
      <c r="F8" s="189"/>
      <c r="G8" s="189"/>
      <c r="H8" s="189"/>
      <c r="I8" s="189"/>
      <c r="J8" s="189"/>
      <c r="K8" s="189"/>
      <c r="L8" s="189"/>
      <c r="M8" s="189"/>
      <c r="N8" s="189"/>
      <c r="O8" s="189"/>
    </row>
    <row r="9" spans="1:16">
      <c r="A9" s="40"/>
      <c r="B9" s="41"/>
      <c r="C9" s="41"/>
      <c r="D9" s="41"/>
      <c r="E9" s="42"/>
      <c r="F9" s="42"/>
      <c r="G9" s="42"/>
      <c r="H9" s="42"/>
      <c r="I9" s="42"/>
      <c r="J9" s="42"/>
      <c r="K9" s="42"/>
      <c r="L9" s="40"/>
      <c r="M9" s="40"/>
      <c r="N9" s="40"/>
      <c r="O9" s="40"/>
    </row>
    <row r="10" spans="1:16">
      <c r="A10" s="40"/>
      <c r="B10" s="195" t="s">
        <v>84</v>
      </c>
      <c r="C10" s="195"/>
      <c r="D10" s="41"/>
      <c r="E10" s="42"/>
      <c r="F10" s="42"/>
      <c r="G10" s="42"/>
      <c r="H10" s="42"/>
      <c r="I10" s="42"/>
      <c r="J10" s="42"/>
      <c r="K10" s="42"/>
      <c r="L10" s="40"/>
      <c r="M10" s="40"/>
      <c r="N10" s="40"/>
      <c r="O10" s="40"/>
    </row>
    <row r="11" spans="1:16">
      <c r="A11" s="40"/>
      <c r="B11" s="44" t="s">
        <v>85</v>
      </c>
      <c r="C11" s="45" t="s">
        <v>86</v>
      </c>
      <c r="D11" s="41"/>
      <c r="E11" s="42"/>
      <c r="F11" s="42"/>
      <c r="G11" s="42"/>
      <c r="H11" s="42"/>
      <c r="I11" s="42"/>
      <c r="J11" s="42"/>
      <c r="K11" s="42"/>
      <c r="L11" s="40"/>
      <c r="M11" s="40"/>
      <c r="N11" s="40"/>
      <c r="O11" s="40"/>
      <c r="P11" s="102">
        <f ca="1">YEAR(NOW())</f>
        <v>2022</v>
      </c>
    </row>
    <row r="12" spans="1:16">
      <c r="A12" s="61">
        <f ca="1">DATEVALUE(_xlfn.CONCAT(1,"/",1,"/",$P$11))</f>
        <v>44562</v>
      </c>
      <c r="B12" s="46" t="s">
        <v>87</v>
      </c>
      <c r="C12" s="47">
        <v>1000</v>
      </c>
      <c r="D12" s="41"/>
      <c r="E12" s="42"/>
      <c r="F12" s="42"/>
      <c r="G12" s="42"/>
      <c r="H12" s="42"/>
      <c r="I12" s="42"/>
      <c r="J12" s="42"/>
      <c r="K12" s="42"/>
      <c r="L12" s="40"/>
      <c r="M12" s="40"/>
      <c r="N12" s="40"/>
      <c r="O12" s="40"/>
    </row>
    <row r="13" spans="1:16">
      <c r="A13" s="61">
        <f ca="1">DATEVALUE(_xlfn.CONCAT(1,"/",2,"/",$P$11))</f>
        <v>44593</v>
      </c>
      <c r="B13" s="46" t="s">
        <v>88</v>
      </c>
      <c r="C13" s="47">
        <v>1500</v>
      </c>
      <c r="D13" s="41"/>
      <c r="E13" s="42"/>
      <c r="F13" s="42"/>
      <c r="G13" s="42"/>
      <c r="H13" s="42"/>
      <c r="I13" s="42"/>
      <c r="J13" s="42"/>
      <c r="K13" s="42"/>
      <c r="L13" s="40"/>
      <c r="M13" s="40"/>
      <c r="N13" s="40"/>
      <c r="O13" s="40"/>
    </row>
    <row r="14" spans="1:16">
      <c r="A14" s="61">
        <f ca="1">DATEVALUE(_xlfn.CONCAT(1,"/",3,"/",$P$11))</f>
        <v>44621</v>
      </c>
      <c r="B14" s="46" t="s">
        <v>89</v>
      </c>
      <c r="C14" s="47">
        <v>2200</v>
      </c>
      <c r="D14" s="43"/>
      <c r="E14" s="40"/>
      <c r="F14" s="40"/>
      <c r="G14" s="40"/>
      <c r="H14" s="40"/>
      <c r="I14" s="40"/>
      <c r="J14" s="40"/>
      <c r="K14" s="40"/>
      <c r="L14" s="40"/>
      <c r="M14" s="40"/>
      <c r="N14" s="40"/>
      <c r="O14" s="40"/>
    </row>
    <row r="15" spans="1:16">
      <c r="A15" s="61">
        <f ca="1">DATEVALUE(_xlfn.CONCAT(1,"/",4,"/",$P$11))</f>
        <v>44652</v>
      </c>
      <c r="B15" s="46" t="s">
        <v>90</v>
      </c>
      <c r="C15" s="47">
        <v>3500</v>
      </c>
      <c r="D15" s="40"/>
      <c r="E15" s="40"/>
      <c r="F15" s="40"/>
      <c r="G15" s="40"/>
      <c r="H15" s="40"/>
      <c r="I15" s="40"/>
      <c r="J15" s="40"/>
      <c r="K15" s="40"/>
      <c r="L15" s="40"/>
      <c r="M15" s="40"/>
      <c r="N15" s="40"/>
      <c r="O15" s="40"/>
    </row>
    <row r="16" spans="1:16">
      <c r="A16" s="61">
        <f ca="1">DATEVALUE(_xlfn.CONCAT(1,"/",5,"/",$P$11))</f>
        <v>44682</v>
      </c>
      <c r="B16" s="46" t="s">
        <v>91</v>
      </c>
      <c r="C16" s="47">
        <v>2700</v>
      </c>
      <c r="D16" s="40"/>
      <c r="E16" s="40"/>
      <c r="F16" s="40"/>
      <c r="G16" s="40"/>
      <c r="H16" s="40"/>
      <c r="I16" s="40"/>
      <c r="J16" s="40"/>
      <c r="K16" s="40"/>
      <c r="L16" s="40"/>
      <c r="M16" s="40"/>
      <c r="N16" s="40"/>
      <c r="O16" s="40"/>
    </row>
    <row r="17" spans="1:15">
      <c r="A17" s="61">
        <f ca="1">DATEVALUE(_xlfn.CONCAT(1,"/",6,"/",$P$11))</f>
        <v>44713</v>
      </c>
      <c r="B17" s="46" t="s">
        <v>92</v>
      </c>
      <c r="C17" s="47">
        <v>3600</v>
      </c>
      <c r="D17" s="40"/>
      <c r="E17" s="40"/>
      <c r="F17" s="40"/>
      <c r="G17" s="40"/>
      <c r="H17" s="40"/>
      <c r="I17" s="40"/>
      <c r="J17" s="40"/>
      <c r="K17" s="40"/>
      <c r="L17" s="40"/>
      <c r="M17" s="40"/>
      <c r="N17" s="40"/>
      <c r="O17" s="40"/>
    </row>
    <row r="18" spans="1:15">
      <c r="A18" s="61">
        <f ca="1">DATEVALUE(_xlfn.CONCAT(1,"/",7,"/",$P$11))</f>
        <v>44743</v>
      </c>
      <c r="B18" s="46" t="s">
        <v>93</v>
      </c>
      <c r="C18" s="47">
        <v>3300</v>
      </c>
      <c r="D18" s="40"/>
      <c r="E18" s="40"/>
      <c r="F18" s="40"/>
      <c r="G18" s="40"/>
      <c r="H18" s="40"/>
      <c r="I18" s="40"/>
      <c r="J18" s="40"/>
      <c r="K18" s="40"/>
      <c r="L18" s="40"/>
      <c r="M18" s="40"/>
      <c r="N18" s="40"/>
      <c r="O18" s="40"/>
    </row>
    <row r="19" spans="1:15">
      <c r="A19" s="61">
        <f ca="1">DATEVALUE(_xlfn.CONCAT(1,"/",8,"/",$P$11))</f>
        <v>44774</v>
      </c>
      <c r="B19" s="46" t="s">
        <v>94</v>
      </c>
      <c r="C19" s="47">
        <v>2800</v>
      </c>
      <c r="D19" s="40"/>
      <c r="E19" s="40"/>
      <c r="F19" s="40"/>
      <c r="G19" s="40"/>
      <c r="H19" s="40"/>
      <c r="I19" s="40"/>
      <c r="J19" s="40"/>
      <c r="K19" s="40"/>
      <c r="L19" s="40"/>
      <c r="M19" s="40"/>
      <c r="N19" s="40"/>
      <c r="O19" s="40"/>
    </row>
    <row r="20" spans="1:15">
      <c r="A20" s="61">
        <f ca="1">DATEVALUE(_xlfn.CONCAT(1,"/",9,"/",$P$11))</f>
        <v>44805</v>
      </c>
      <c r="B20" s="46" t="s">
        <v>95</v>
      </c>
      <c r="C20" s="47">
        <v>1500</v>
      </c>
      <c r="D20" s="40"/>
      <c r="E20" s="40"/>
      <c r="F20" s="40"/>
      <c r="G20" s="40"/>
      <c r="H20" s="40"/>
      <c r="I20" s="40"/>
      <c r="J20" s="40"/>
      <c r="K20" s="40"/>
      <c r="L20" s="40"/>
      <c r="M20" s="40"/>
      <c r="N20" s="40"/>
      <c r="O20" s="40"/>
    </row>
    <row r="21" spans="1:15">
      <c r="A21" s="61">
        <f ca="1">DATEVALUE(_xlfn.CONCAT(1,"/",10,"/",$P$11))</f>
        <v>44835</v>
      </c>
      <c r="B21" s="46" t="s">
        <v>96</v>
      </c>
      <c r="C21" s="47">
        <v>2100</v>
      </c>
      <c r="D21" s="40"/>
      <c r="E21" s="40"/>
      <c r="F21" s="40"/>
      <c r="G21" s="40"/>
      <c r="H21" s="40"/>
      <c r="I21" s="40"/>
      <c r="J21" s="40"/>
      <c r="K21" s="40"/>
      <c r="L21" s="40"/>
      <c r="M21" s="40"/>
      <c r="N21" s="40"/>
      <c r="O21" s="40"/>
    </row>
    <row r="22" spans="1:15">
      <c r="A22" s="61">
        <f ca="1">DATEVALUE(_xlfn.CONCAT(1,"/",11,"/",$P$11))</f>
        <v>44866</v>
      </c>
      <c r="B22" s="46" t="s">
        <v>97</v>
      </c>
      <c r="C22" s="47">
        <v>3700</v>
      </c>
      <c r="D22" s="40"/>
      <c r="E22" s="40"/>
      <c r="F22" s="40"/>
      <c r="G22" s="40"/>
      <c r="H22" s="40"/>
      <c r="I22" s="40"/>
      <c r="J22" s="40"/>
      <c r="K22" s="40"/>
      <c r="L22" s="40"/>
      <c r="M22" s="40"/>
      <c r="N22" s="40"/>
      <c r="O22" s="40"/>
    </row>
    <row r="23" spans="1:15" ht="19.5">
      <c r="A23" s="61">
        <f ca="1">DATEVALUE(_xlfn.CONCAT(1,"/",12,"/",$P$11))</f>
        <v>44896</v>
      </c>
      <c r="B23" s="46" t="s">
        <v>98</v>
      </c>
      <c r="C23" s="47">
        <v>5000</v>
      </c>
      <c r="D23" s="188" t="s">
        <v>99</v>
      </c>
      <c r="E23" s="188"/>
      <c r="F23" s="188"/>
      <c r="G23" s="188"/>
      <c r="H23" s="188"/>
      <c r="I23" s="40"/>
      <c r="J23" s="40"/>
      <c r="K23" s="40"/>
      <c r="L23" s="40"/>
      <c r="M23" s="40"/>
      <c r="N23" s="40"/>
      <c r="O23" s="40"/>
    </row>
    <row r="24" spans="1:15" ht="19.5">
      <c r="A24" s="40"/>
      <c r="B24" s="38" t="s">
        <v>100</v>
      </c>
      <c r="C24" s="39">
        <f>SUM(C12:C23)</f>
        <v>32900</v>
      </c>
      <c r="D24" s="187">
        <f>C24</f>
        <v>32900</v>
      </c>
      <c r="E24" s="187"/>
      <c r="F24" s="187"/>
      <c r="G24" s="187"/>
      <c r="H24" s="187"/>
      <c r="I24" s="40"/>
      <c r="J24" s="40"/>
      <c r="K24" s="40"/>
      <c r="L24" s="40"/>
      <c r="M24" s="40"/>
      <c r="N24" s="40"/>
      <c r="O24" s="40"/>
    </row>
    <row r="25" spans="1:15">
      <c r="A25" s="40"/>
      <c r="B25" s="40"/>
      <c r="C25" s="40"/>
      <c r="D25" s="40"/>
      <c r="E25" s="40"/>
      <c r="F25" s="40"/>
      <c r="G25" s="40"/>
      <c r="H25" s="40"/>
      <c r="I25" s="40"/>
      <c r="J25" s="40"/>
      <c r="K25" s="40"/>
      <c r="L25" s="40"/>
      <c r="M25" s="40"/>
      <c r="N25" s="40"/>
      <c r="O25" s="40"/>
    </row>
    <row r="26" spans="1:15">
      <c r="A26" s="48"/>
      <c r="B26" s="48"/>
      <c r="C26" s="48"/>
      <c r="D26" s="48"/>
      <c r="E26" s="48"/>
      <c r="F26" s="48"/>
      <c r="G26" s="48"/>
      <c r="H26" s="48"/>
      <c r="I26" s="48"/>
      <c r="J26" s="48"/>
      <c r="K26" s="48"/>
      <c r="L26" s="48"/>
      <c r="M26" s="48"/>
      <c r="N26" s="48"/>
      <c r="O26" s="48"/>
    </row>
    <row r="27" spans="1:15" ht="26.1">
      <c r="A27" s="197" t="s">
        <v>101</v>
      </c>
      <c r="B27" s="197"/>
      <c r="C27" s="197"/>
      <c r="D27" s="197"/>
      <c r="E27" s="197"/>
      <c r="F27" s="197"/>
      <c r="G27" s="197"/>
      <c r="H27" s="197"/>
      <c r="I27" s="197"/>
      <c r="J27" s="197"/>
      <c r="K27" s="197"/>
      <c r="L27" s="197"/>
      <c r="M27" s="197"/>
      <c r="N27" s="197"/>
      <c r="O27" s="197"/>
    </row>
    <row r="28" spans="1:15">
      <c r="A28" s="48"/>
      <c r="B28" s="48"/>
      <c r="C28" s="48"/>
      <c r="D28" s="48"/>
      <c r="E28" s="48"/>
      <c r="F28" s="48"/>
      <c r="G28" s="48"/>
      <c r="H28" s="48"/>
      <c r="I28" s="48"/>
      <c r="J28" s="48"/>
      <c r="K28" s="48"/>
      <c r="L28" s="49"/>
      <c r="M28" s="48"/>
      <c r="N28" s="48"/>
      <c r="O28" s="48"/>
    </row>
    <row r="29" spans="1:15">
      <c r="A29" s="48"/>
      <c r="B29" s="196" t="s">
        <v>101</v>
      </c>
      <c r="C29" s="196"/>
      <c r="D29" s="48"/>
      <c r="E29" s="48"/>
      <c r="F29" s="48"/>
      <c r="G29" s="48"/>
      <c r="H29" s="48"/>
      <c r="I29" s="48"/>
      <c r="J29" s="48"/>
      <c r="K29" s="48"/>
      <c r="L29" s="48"/>
      <c r="M29" s="48"/>
      <c r="N29" s="48"/>
      <c r="O29" s="48"/>
    </row>
    <row r="30" spans="1:15">
      <c r="A30" s="48"/>
      <c r="B30" s="44" t="s">
        <v>85</v>
      </c>
      <c r="C30" s="45" t="s">
        <v>86</v>
      </c>
      <c r="D30" s="48"/>
      <c r="E30" s="48"/>
      <c r="F30" s="48"/>
      <c r="G30" s="48"/>
      <c r="H30" s="48"/>
      <c r="I30" s="48"/>
      <c r="J30" s="48"/>
      <c r="K30" s="48"/>
      <c r="L30" s="48"/>
      <c r="M30" s="48"/>
      <c r="N30" s="48"/>
      <c r="O30" s="48"/>
    </row>
    <row r="31" spans="1:15">
      <c r="A31" s="48"/>
      <c r="B31" s="46" t="s">
        <v>87</v>
      </c>
      <c r="C31" s="47">
        <f t="shared" ref="C31:C42" si="0">C51+C71</f>
        <v>1400</v>
      </c>
      <c r="D31" s="48"/>
      <c r="E31" s="48"/>
      <c r="F31" s="48"/>
      <c r="G31" s="48"/>
      <c r="H31" s="48"/>
      <c r="I31" s="48"/>
      <c r="J31" s="48"/>
      <c r="K31" s="48"/>
      <c r="L31" s="48"/>
      <c r="M31" s="48"/>
      <c r="N31" s="48"/>
      <c r="O31" s="48"/>
    </row>
    <row r="32" spans="1:15">
      <c r="A32" s="48"/>
      <c r="B32" s="46" t="s">
        <v>88</v>
      </c>
      <c r="C32" s="47">
        <f t="shared" si="0"/>
        <v>2600</v>
      </c>
      <c r="D32" s="48"/>
      <c r="E32" s="48"/>
      <c r="F32" s="48"/>
      <c r="G32" s="48"/>
      <c r="H32" s="48"/>
      <c r="I32" s="48"/>
      <c r="J32" s="48"/>
      <c r="K32" s="48"/>
      <c r="L32" s="48"/>
      <c r="M32" s="48"/>
      <c r="N32" s="48"/>
      <c r="O32" s="48"/>
    </row>
    <row r="33" spans="1:15">
      <c r="A33" s="48"/>
      <c r="B33" s="46" t="s">
        <v>89</v>
      </c>
      <c r="C33" s="47">
        <f t="shared" si="0"/>
        <v>1200</v>
      </c>
      <c r="D33" s="48"/>
      <c r="E33" s="48"/>
      <c r="F33" s="48"/>
      <c r="G33" s="48"/>
      <c r="H33" s="48"/>
      <c r="I33" s="48"/>
      <c r="J33" s="48"/>
      <c r="K33" s="48"/>
      <c r="L33" s="48"/>
      <c r="M33" s="48"/>
      <c r="N33" s="48"/>
      <c r="O33" s="48"/>
    </row>
    <row r="34" spans="1:15">
      <c r="A34" s="48"/>
      <c r="B34" s="46" t="s">
        <v>90</v>
      </c>
      <c r="C34" s="47">
        <f t="shared" si="0"/>
        <v>1050</v>
      </c>
      <c r="D34" s="48"/>
      <c r="E34" s="48"/>
      <c r="F34" s="48"/>
      <c r="G34" s="48"/>
      <c r="H34" s="48"/>
      <c r="I34" s="48"/>
      <c r="J34" s="48"/>
      <c r="K34" s="48"/>
      <c r="L34" s="48"/>
      <c r="M34" s="48"/>
      <c r="N34" s="48"/>
      <c r="O34" s="48"/>
    </row>
    <row r="35" spans="1:15">
      <c r="A35" s="48"/>
      <c r="B35" s="46" t="s">
        <v>91</v>
      </c>
      <c r="C35" s="47">
        <f t="shared" si="0"/>
        <v>750</v>
      </c>
      <c r="D35" s="48"/>
      <c r="E35" s="48"/>
      <c r="F35" s="48"/>
      <c r="G35" s="48"/>
      <c r="H35" s="50"/>
      <c r="I35" s="50"/>
      <c r="J35" s="50"/>
      <c r="K35" s="50"/>
      <c r="L35" s="50"/>
      <c r="M35" s="48"/>
      <c r="N35" s="48"/>
      <c r="O35" s="48"/>
    </row>
    <row r="36" spans="1:15">
      <c r="A36" s="48"/>
      <c r="B36" s="46" t="s">
        <v>92</v>
      </c>
      <c r="C36" s="47">
        <f t="shared" si="0"/>
        <v>700</v>
      </c>
      <c r="D36" s="48"/>
      <c r="E36" s="48"/>
      <c r="F36" s="48"/>
      <c r="G36" s="48"/>
      <c r="H36" s="50"/>
      <c r="I36" s="50"/>
      <c r="J36" s="50"/>
      <c r="K36" s="50"/>
      <c r="L36" s="50"/>
      <c r="M36" s="48"/>
      <c r="N36" s="48"/>
      <c r="O36" s="48"/>
    </row>
    <row r="37" spans="1:15">
      <c r="A37" s="48"/>
      <c r="B37" s="46" t="s">
        <v>93</v>
      </c>
      <c r="C37" s="47">
        <f t="shared" si="0"/>
        <v>1000</v>
      </c>
      <c r="D37" s="48"/>
      <c r="E37" s="48"/>
      <c r="F37" s="48"/>
      <c r="G37" s="48"/>
      <c r="H37" s="50"/>
      <c r="I37" s="50"/>
      <c r="J37" s="50"/>
      <c r="K37" s="50"/>
      <c r="L37" s="50"/>
      <c r="M37" s="48"/>
      <c r="N37" s="48"/>
      <c r="O37" s="48"/>
    </row>
    <row r="38" spans="1:15">
      <c r="A38" s="48"/>
      <c r="B38" s="46" t="s">
        <v>94</v>
      </c>
      <c r="C38" s="47">
        <f t="shared" si="0"/>
        <v>1200</v>
      </c>
      <c r="D38" s="48"/>
      <c r="E38" s="48"/>
      <c r="F38" s="48"/>
      <c r="G38" s="48"/>
      <c r="H38" s="48"/>
      <c r="I38" s="48"/>
      <c r="J38" s="48"/>
      <c r="K38" s="48"/>
      <c r="L38" s="48"/>
      <c r="M38" s="48"/>
      <c r="N38" s="48"/>
      <c r="O38" s="48"/>
    </row>
    <row r="39" spans="1:15">
      <c r="A39" s="48"/>
      <c r="B39" s="46" t="s">
        <v>95</v>
      </c>
      <c r="C39" s="47">
        <f t="shared" si="0"/>
        <v>1350</v>
      </c>
      <c r="D39" s="48"/>
      <c r="E39" s="48"/>
      <c r="F39" s="48"/>
      <c r="G39" s="48"/>
      <c r="H39" s="48"/>
      <c r="I39" s="48"/>
      <c r="J39" s="48"/>
      <c r="K39" s="48"/>
      <c r="L39" s="48"/>
      <c r="M39" s="48"/>
      <c r="N39" s="48"/>
      <c r="O39" s="48"/>
    </row>
    <row r="40" spans="1:15">
      <c r="A40" s="48"/>
      <c r="B40" s="46" t="s">
        <v>96</v>
      </c>
      <c r="C40" s="47">
        <f t="shared" si="0"/>
        <v>1000</v>
      </c>
      <c r="D40" s="48"/>
      <c r="E40" s="48"/>
      <c r="F40" s="48"/>
      <c r="G40" s="48"/>
      <c r="H40" s="48"/>
      <c r="I40" s="48"/>
      <c r="J40" s="48"/>
      <c r="K40" s="48"/>
      <c r="L40" s="48"/>
      <c r="M40" s="48"/>
      <c r="N40" s="48"/>
      <c r="O40" s="48"/>
    </row>
    <row r="41" spans="1:15">
      <c r="A41" s="48"/>
      <c r="B41" s="46" t="s">
        <v>97</v>
      </c>
      <c r="C41" s="47">
        <f t="shared" si="0"/>
        <v>1000</v>
      </c>
      <c r="D41" s="48"/>
      <c r="E41" s="48"/>
      <c r="F41" s="48"/>
      <c r="G41" s="48"/>
      <c r="H41" s="48"/>
      <c r="I41" s="48"/>
      <c r="J41" s="48"/>
      <c r="K41" s="48"/>
      <c r="L41" s="48"/>
      <c r="M41" s="48"/>
      <c r="N41" s="48"/>
      <c r="O41" s="48"/>
    </row>
    <row r="42" spans="1:15">
      <c r="A42" s="48"/>
      <c r="B42" s="46" t="s">
        <v>98</v>
      </c>
      <c r="C42" s="47">
        <f t="shared" si="0"/>
        <v>1000</v>
      </c>
      <c r="D42" s="48"/>
      <c r="E42" s="48"/>
      <c r="F42" s="48"/>
      <c r="G42" s="48"/>
      <c r="H42" s="48"/>
      <c r="I42" s="48"/>
      <c r="J42" s="48"/>
      <c r="K42" s="48"/>
      <c r="L42" s="48"/>
      <c r="M42" s="48"/>
      <c r="N42" s="48"/>
      <c r="O42" s="48"/>
    </row>
    <row r="43" spans="1:15" ht="19.5">
      <c r="A43" s="48"/>
      <c r="B43" s="38" t="s">
        <v>102</v>
      </c>
      <c r="C43" s="39">
        <f>SUM(C31:C42)</f>
        <v>14250</v>
      </c>
      <c r="D43" s="203" t="s">
        <v>103</v>
      </c>
      <c r="E43" s="203"/>
      <c r="F43" s="203"/>
      <c r="G43" s="203"/>
      <c r="H43" s="203"/>
      <c r="I43" s="48"/>
      <c r="J43" s="48"/>
      <c r="K43" s="48"/>
      <c r="L43" s="48"/>
      <c r="M43" s="48"/>
      <c r="N43" s="48"/>
      <c r="O43" s="48"/>
    </row>
    <row r="44" spans="1:15" ht="19.5">
      <c r="A44" s="48"/>
      <c r="B44" s="48"/>
      <c r="C44" s="48"/>
      <c r="D44" s="204">
        <f>C43</f>
        <v>14250</v>
      </c>
      <c r="E44" s="204"/>
      <c r="F44" s="204"/>
      <c r="G44" s="204"/>
      <c r="H44" s="204"/>
      <c r="I44" s="48"/>
      <c r="J44" s="48"/>
      <c r="K44" s="48"/>
      <c r="L44" s="48"/>
      <c r="M44" s="48"/>
      <c r="N44" s="48"/>
      <c r="O44" s="48"/>
    </row>
    <row r="45" spans="1:15">
      <c r="A45" s="48"/>
      <c r="B45" s="48"/>
      <c r="C45" s="48"/>
      <c r="D45" s="48"/>
      <c r="E45" s="48"/>
      <c r="F45" s="48"/>
      <c r="G45" s="48"/>
      <c r="H45" s="48"/>
      <c r="I45" s="48"/>
      <c r="J45" s="48"/>
      <c r="K45" s="48"/>
      <c r="L45" s="48"/>
      <c r="M45" s="48"/>
      <c r="N45" s="48"/>
      <c r="O45" s="48"/>
    </row>
    <row r="46" spans="1:15">
      <c r="A46" s="51"/>
      <c r="B46" s="51"/>
      <c r="C46" s="51"/>
      <c r="D46" s="51"/>
      <c r="E46" s="51"/>
      <c r="F46" s="51"/>
      <c r="G46" s="51"/>
      <c r="H46" s="51"/>
      <c r="I46" s="51"/>
      <c r="J46" s="51"/>
      <c r="K46" s="51"/>
      <c r="L46" s="51"/>
      <c r="M46" s="51"/>
      <c r="N46" s="51"/>
      <c r="O46" s="51"/>
    </row>
    <row r="47" spans="1:15" ht="26.1">
      <c r="A47" s="198" t="s">
        <v>104</v>
      </c>
      <c r="B47" s="198"/>
      <c r="C47" s="198"/>
      <c r="D47" s="198"/>
      <c r="E47" s="198"/>
      <c r="F47" s="198"/>
      <c r="G47" s="198"/>
      <c r="H47" s="198"/>
      <c r="I47" s="198"/>
      <c r="J47" s="198"/>
      <c r="K47" s="198"/>
      <c r="L47" s="198"/>
      <c r="M47" s="198"/>
      <c r="N47" s="198"/>
      <c r="O47" s="198"/>
    </row>
    <row r="48" spans="1:15">
      <c r="A48" s="51"/>
      <c r="B48" s="51"/>
      <c r="C48" s="51"/>
      <c r="D48" s="51"/>
      <c r="E48" s="51"/>
      <c r="F48" s="51"/>
      <c r="G48" s="51"/>
      <c r="H48" s="51"/>
      <c r="I48" s="51"/>
      <c r="J48" s="51"/>
      <c r="K48" s="51"/>
      <c r="L48" s="51"/>
      <c r="M48" s="51"/>
      <c r="N48" s="51"/>
      <c r="O48" s="51"/>
    </row>
    <row r="49" spans="1:15">
      <c r="A49" s="51"/>
      <c r="B49" s="196" t="s">
        <v>104</v>
      </c>
      <c r="C49" s="196"/>
      <c r="D49" s="51"/>
      <c r="E49" s="51"/>
      <c r="F49" s="51"/>
      <c r="G49" s="51"/>
      <c r="H49" s="51"/>
      <c r="I49" s="51"/>
      <c r="J49" s="51"/>
      <c r="K49" s="51"/>
      <c r="L49" s="51"/>
      <c r="M49" s="51"/>
      <c r="N49" s="51"/>
      <c r="O49" s="51"/>
    </row>
    <row r="50" spans="1:15">
      <c r="A50" s="51"/>
      <c r="B50" s="44" t="s">
        <v>85</v>
      </c>
      <c r="C50" s="45" t="s">
        <v>86</v>
      </c>
      <c r="D50" s="51"/>
      <c r="E50" s="51"/>
      <c r="F50" s="51"/>
      <c r="G50" s="51"/>
      <c r="H50" s="51"/>
      <c r="I50" s="51"/>
      <c r="J50" s="51"/>
      <c r="K50" s="51"/>
      <c r="L50" s="51"/>
      <c r="M50" s="51"/>
      <c r="N50" s="51"/>
      <c r="O50" s="51"/>
    </row>
    <row r="51" spans="1:15">
      <c r="A51" s="51"/>
      <c r="B51" s="46" t="s">
        <v>87</v>
      </c>
      <c r="C51" s="47">
        <v>400</v>
      </c>
      <c r="D51" s="51"/>
      <c r="E51" s="51"/>
      <c r="F51" s="51"/>
      <c r="G51" s="51"/>
      <c r="H51" s="51"/>
      <c r="I51" s="51"/>
      <c r="J51" s="51"/>
      <c r="K51" s="51"/>
      <c r="L51" s="51"/>
      <c r="M51" s="51"/>
      <c r="N51" s="51"/>
      <c r="O51" s="51"/>
    </row>
    <row r="52" spans="1:15">
      <c r="A52" s="51"/>
      <c r="B52" s="46" t="s">
        <v>88</v>
      </c>
      <c r="C52" s="47">
        <v>600</v>
      </c>
      <c r="D52" s="51"/>
      <c r="E52" s="51"/>
      <c r="F52" s="51"/>
      <c r="G52" s="51"/>
      <c r="H52" s="51"/>
      <c r="I52" s="51"/>
      <c r="J52" s="51"/>
      <c r="K52" s="51"/>
      <c r="L52" s="51"/>
      <c r="M52" s="51"/>
      <c r="N52" s="51"/>
      <c r="O52" s="51"/>
    </row>
    <row r="53" spans="1:15">
      <c r="A53" s="51"/>
      <c r="B53" s="46" t="s">
        <v>89</v>
      </c>
      <c r="C53" s="47">
        <v>700</v>
      </c>
      <c r="D53" s="51"/>
      <c r="E53" s="51"/>
      <c r="F53" s="51"/>
      <c r="G53" s="51"/>
      <c r="H53" s="51"/>
      <c r="I53" s="51"/>
      <c r="J53" s="51"/>
      <c r="K53" s="51"/>
      <c r="L53" s="51"/>
      <c r="M53" s="51"/>
      <c r="N53" s="51"/>
      <c r="O53" s="51"/>
    </row>
    <row r="54" spans="1:15">
      <c r="A54" s="51"/>
      <c r="B54" s="46" t="s">
        <v>90</v>
      </c>
      <c r="C54" s="47">
        <v>650</v>
      </c>
      <c r="D54" s="51"/>
      <c r="E54" s="51"/>
      <c r="F54" s="51"/>
      <c r="G54" s="51"/>
      <c r="H54" s="51"/>
      <c r="I54" s="51"/>
      <c r="J54" s="51"/>
      <c r="K54" s="51"/>
      <c r="L54" s="51"/>
      <c r="M54" s="51"/>
      <c r="N54" s="51"/>
      <c r="O54" s="51"/>
    </row>
    <row r="55" spans="1:15">
      <c r="A55" s="51"/>
      <c r="B55" s="46" t="s">
        <v>91</v>
      </c>
      <c r="C55" s="47">
        <v>250</v>
      </c>
      <c r="D55" s="51"/>
      <c r="E55" s="51"/>
      <c r="F55" s="51"/>
      <c r="G55" s="51"/>
      <c r="H55" s="51"/>
      <c r="I55" s="51"/>
      <c r="J55" s="51"/>
      <c r="K55" s="51"/>
      <c r="L55" s="51"/>
      <c r="M55" s="51"/>
      <c r="N55" s="51"/>
      <c r="O55" s="51"/>
    </row>
    <row r="56" spans="1:15">
      <c r="A56" s="51"/>
      <c r="B56" s="46" t="s">
        <v>92</v>
      </c>
      <c r="C56" s="47">
        <v>350</v>
      </c>
      <c r="D56" s="51"/>
      <c r="E56" s="51"/>
      <c r="F56" s="51"/>
      <c r="G56" s="51"/>
      <c r="H56" s="51"/>
      <c r="I56" s="51"/>
      <c r="J56" s="51"/>
      <c r="K56" s="51"/>
      <c r="L56" s="51"/>
      <c r="M56" s="51"/>
      <c r="N56" s="51"/>
      <c r="O56" s="51"/>
    </row>
    <row r="57" spans="1:15">
      <c r="A57" s="51"/>
      <c r="B57" s="46" t="s">
        <v>93</v>
      </c>
      <c r="C57" s="47">
        <v>500</v>
      </c>
      <c r="D57" s="51"/>
      <c r="E57" s="51"/>
      <c r="F57" s="51"/>
      <c r="G57" s="51"/>
      <c r="H57" s="51"/>
      <c r="I57" s="51"/>
      <c r="J57" s="51"/>
      <c r="K57" s="51"/>
      <c r="L57" s="51"/>
      <c r="M57" s="51"/>
      <c r="N57" s="51"/>
      <c r="O57" s="51"/>
    </row>
    <row r="58" spans="1:15">
      <c r="A58" s="51"/>
      <c r="B58" s="46" t="s">
        <v>94</v>
      </c>
      <c r="C58" s="47">
        <v>600</v>
      </c>
      <c r="D58" s="51"/>
      <c r="E58" s="51"/>
      <c r="F58" s="51"/>
      <c r="G58" s="51"/>
      <c r="H58" s="51"/>
      <c r="I58" s="51"/>
      <c r="J58" s="51"/>
      <c r="K58" s="51"/>
      <c r="L58" s="51"/>
      <c r="M58" s="51"/>
      <c r="N58" s="51"/>
      <c r="O58" s="51"/>
    </row>
    <row r="59" spans="1:15">
      <c r="A59" s="51"/>
      <c r="B59" s="46" t="s">
        <v>95</v>
      </c>
      <c r="C59" s="47">
        <v>550</v>
      </c>
      <c r="D59" s="51"/>
      <c r="E59" s="51"/>
      <c r="F59" s="51"/>
      <c r="G59" s="51"/>
      <c r="H59" s="51"/>
      <c r="I59" s="51"/>
      <c r="J59" s="51"/>
      <c r="K59" s="51"/>
      <c r="L59" s="51"/>
      <c r="M59" s="51"/>
      <c r="N59" s="51"/>
      <c r="O59" s="51"/>
    </row>
    <row r="60" spans="1:15">
      <c r="A60" s="51"/>
      <c r="B60" s="46" t="s">
        <v>96</v>
      </c>
      <c r="C60" s="47">
        <v>500</v>
      </c>
      <c r="D60" s="51"/>
      <c r="E60" s="51"/>
      <c r="F60" s="51"/>
      <c r="G60" s="51"/>
      <c r="H60" s="51"/>
      <c r="I60" s="51"/>
      <c r="J60" s="51"/>
      <c r="K60" s="51"/>
      <c r="L60" s="51"/>
      <c r="M60" s="51"/>
      <c r="N60" s="51"/>
      <c r="O60" s="51"/>
    </row>
    <row r="61" spans="1:15">
      <c r="A61" s="51"/>
      <c r="B61" s="46" t="s">
        <v>97</v>
      </c>
      <c r="C61" s="47">
        <v>400</v>
      </c>
      <c r="D61" s="51"/>
      <c r="E61" s="51"/>
      <c r="F61" s="51"/>
      <c r="G61" s="51"/>
      <c r="H61" s="51"/>
      <c r="I61" s="51"/>
      <c r="J61" s="51"/>
      <c r="K61" s="51"/>
      <c r="L61" s="51"/>
      <c r="M61" s="51"/>
      <c r="N61" s="51"/>
      <c r="O61" s="51"/>
    </row>
    <row r="62" spans="1:15" ht="19.5">
      <c r="A62" s="51"/>
      <c r="B62" s="46" t="s">
        <v>98</v>
      </c>
      <c r="C62" s="47">
        <v>500</v>
      </c>
      <c r="D62" s="190" t="s">
        <v>105</v>
      </c>
      <c r="E62" s="190"/>
      <c r="F62" s="190"/>
      <c r="G62" s="190"/>
      <c r="H62" s="190"/>
      <c r="I62" s="51"/>
      <c r="J62" s="51"/>
      <c r="K62" s="51"/>
      <c r="L62" s="51"/>
      <c r="M62" s="51"/>
      <c r="N62" s="51"/>
      <c r="O62" s="51"/>
    </row>
    <row r="63" spans="1:15" ht="19.5">
      <c r="A63" s="51"/>
      <c r="B63" s="38" t="s">
        <v>106</v>
      </c>
      <c r="C63" s="39">
        <f>SUM(C51:C62)</f>
        <v>6000</v>
      </c>
      <c r="D63" s="199">
        <f>C63</f>
        <v>6000</v>
      </c>
      <c r="E63" s="199"/>
      <c r="F63" s="199"/>
      <c r="G63" s="199"/>
      <c r="H63" s="199"/>
      <c r="I63" s="51"/>
      <c r="J63" s="51"/>
      <c r="K63" s="51"/>
      <c r="L63" s="51"/>
      <c r="M63" s="51"/>
      <c r="N63" s="51"/>
      <c r="O63" s="51"/>
    </row>
    <row r="64" spans="1:15">
      <c r="A64" s="51"/>
      <c r="B64" s="51"/>
      <c r="C64" s="51"/>
      <c r="D64" s="51"/>
      <c r="E64" s="51"/>
      <c r="F64" s="51"/>
      <c r="G64" s="51"/>
      <c r="H64" s="51"/>
      <c r="I64" s="51"/>
      <c r="J64" s="51"/>
      <c r="K64" s="51"/>
      <c r="L64" s="51"/>
      <c r="M64" s="51"/>
      <c r="N64" s="51"/>
      <c r="O64" s="51"/>
    </row>
    <row r="65" spans="1:15">
      <c r="A65" s="51"/>
      <c r="B65" s="51"/>
      <c r="C65" s="51"/>
      <c r="D65" s="52"/>
      <c r="E65" s="52"/>
      <c r="F65" s="52"/>
      <c r="G65" s="52"/>
      <c r="H65" s="52"/>
      <c r="I65" s="51"/>
      <c r="J65" s="51"/>
      <c r="K65" s="51"/>
      <c r="L65" s="51"/>
      <c r="M65" s="51"/>
      <c r="N65" s="51"/>
      <c r="O65" s="51"/>
    </row>
    <row r="66" spans="1:15">
      <c r="A66" s="53"/>
      <c r="B66" s="53"/>
      <c r="C66" s="53"/>
      <c r="D66" s="53"/>
      <c r="E66" s="53"/>
      <c r="F66" s="53"/>
      <c r="G66" s="53"/>
      <c r="H66" s="53"/>
      <c r="I66" s="53"/>
      <c r="J66" s="53"/>
      <c r="K66" s="53"/>
      <c r="L66" s="53"/>
      <c r="M66" s="53"/>
      <c r="N66" s="53"/>
      <c r="O66" s="53"/>
    </row>
    <row r="67" spans="1:15" ht="26.1">
      <c r="A67" s="200" t="s">
        <v>107</v>
      </c>
      <c r="B67" s="200"/>
      <c r="C67" s="200"/>
      <c r="D67" s="200"/>
      <c r="E67" s="200"/>
      <c r="F67" s="200"/>
      <c r="G67" s="200"/>
      <c r="H67" s="200"/>
      <c r="I67" s="200"/>
      <c r="J67" s="200"/>
      <c r="K67" s="200"/>
      <c r="L67" s="200"/>
      <c r="M67" s="200"/>
      <c r="N67" s="200"/>
      <c r="O67" s="200"/>
    </row>
    <row r="68" spans="1:15">
      <c r="A68" s="53"/>
      <c r="B68" s="53"/>
      <c r="C68" s="53"/>
      <c r="D68" s="53"/>
      <c r="E68" s="53"/>
      <c r="F68" s="53"/>
      <c r="G68" s="53"/>
      <c r="H68" s="53"/>
      <c r="I68" s="53"/>
      <c r="J68" s="53"/>
      <c r="K68" s="53"/>
      <c r="L68" s="53"/>
      <c r="M68" s="53"/>
      <c r="N68" s="53"/>
      <c r="O68" s="53"/>
    </row>
    <row r="69" spans="1:15">
      <c r="A69" s="53"/>
      <c r="B69" s="196" t="s">
        <v>107</v>
      </c>
      <c r="C69" s="196"/>
      <c r="D69" s="53"/>
      <c r="E69" s="53"/>
      <c r="F69" s="53"/>
      <c r="G69" s="53"/>
      <c r="H69" s="53"/>
      <c r="I69" s="53"/>
      <c r="J69" s="53"/>
      <c r="K69" s="53"/>
      <c r="L69" s="53"/>
      <c r="M69" s="53"/>
      <c r="N69" s="53"/>
      <c r="O69" s="53"/>
    </row>
    <row r="70" spans="1:15">
      <c r="A70" s="53"/>
      <c r="B70" s="44" t="s">
        <v>85</v>
      </c>
      <c r="C70" s="45" t="s">
        <v>86</v>
      </c>
      <c r="D70" s="53"/>
      <c r="E70" s="53"/>
      <c r="F70" s="53"/>
      <c r="G70" s="53"/>
      <c r="H70" s="53"/>
      <c r="I70" s="53"/>
      <c r="J70" s="53"/>
      <c r="K70" s="53"/>
      <c r="L70" s="53"/>
      <c r="M70" s="53"/>
      <c r="N70" s="53"/>
      <c r="O70" s="53"/>
    </row>
    <row r="71" spans="1:15">
      <c r="A71" s="53"/>
      <c r="B71" s="46" t="s">
        <v>87</v>
      </c>
      <c r="C71" s="47">
        <v>1000</v>
      </c>
      <c r="D71" s="53"/>
      <c r="E71" s="53"/>
      <c r="F71" s="53"/>
      <c r="G71" s="53"/>
      <c r="H71" s="53"/>
      <c r="I71" s="53"/>
      <c r="J71" s="53"/>
      <c r="K71" s="53"/>
      <c r="L71" s="53"/>
      <c r="M71" s="53"/>
      <c r="N71" s="53"/>
      <c r="O71" s="53"/>
    </row>
    <row r="72" spans="1:15">
      <c r="A72" s="53"/>
      <c r="B72" s="46" t="s">
        <v>88</v>
      </c>
      <c r="C72" s="47">
        <v>2000</v>
      </c>
      <c r="D72" s="53"/>
      <c r="E72" s="53"/>
      <c r="F72" s="53"/>
      <c r="G72" s="53"/>
      <c r="H72" s="53"/>
      <c r="I72" s="53"/>
      <c r="J72" s="53"/>
      <c r="K72" s="53"/>
      <c r="L72" s="53"/>
      <c r="M72" s="53"/>
      <c r="N72" s="53"/>
      <c r="O72" s="53"/>
    </row>
    <row r="73" spans="1:15">
      <c r="A73" s="53"/>
      <c r="B73" s="46" t="s">
        <v>89</v>
      </c>
      <c r="C73" s="47">
        <v>500</v>
      </c>
      <c r="D73" s="53"/>
      <c r="E73" s="53"/>
      <c r="F73" s="53"/>
      <c r="G73" s="53"/>
      <c r="H73" s="53"/>
      <c r="I73" s="53"/>
      <c r="J73" s="53"/>
      <c r="K73" s="53"/>
      <c r="L73" s="53"/>
      <c r="M73" s="53"/>
      <c r="N73" s="53"/>
      <c r="O73" s="53"/>
    </row>
    <row r="74" spans="1:15">
      <c r="A74" s="53"/>
      <c r="B74" s="46" t="s">
        <v>90</v>
      </c>
      <c r="C74" s="47">
        <v>400</v>
      </c>
      <c r="D74" s="53"/>
      <c r="E74" s="53"/>
      <c r="F74" s="53"/>
      <c r="G74" s="53"/>
      <c r="H74" s="53"/>
      <c r="I74" s="53"/>
      <c r="J74" s="53"/>
      <c r="K74" s="53"/>
      <c r="L74" s="53"/>
      <c r="M74" s="53"/>
      <c r="N74" s="53"/>
      <c r="O74" s="53"/>
    </row>
    <row r="75" spans="1:15">
      <c r="A75" s="53"/>
      <c r="B75" s="46" t="s">
        <v>91</v>
      </c>
      <c r="C75" s="47">
        <v>500</v>
      </c>
      <c r="D75" s="53"/>
      <c r="E75" s="53"/>
      <c r="F75" s="53"/>
      <c r="G75" s="53"/>
      <c r="H75" s="53"/>
      <c r="I75" s="53"/>
      <c r="J75" s="53"/>
      <c r="K75" s="53"/>
      <c r="L75" s="53"/>
      <c r="M75" s="53"/>
      <c r="N75" s="53"/>
      <c r="O75" s="53"/>
    </row>
    <row r="76" spans="1:15">
      <c r="A76" s="53"/>
      <c r="B76" s="46" t="s">
        <v>92</v>
      </c>
      <c r="C76" s="47">
        <v>350</v>
      </c>
      <c r="D76" s="53"/>
      <c r="E76" s="53"/>
      <c r="F76" s="53"/>
      <c r="G76" s="53"/>
      <c r="H76" s="53"/>
      <c r="I76" s="53"/>
      <c r="J76" s="53"/>
      <c r="K76" s="53"/>
      <c r="L76" s="53"/>
      <c r="M76" s="53"/>
      <c r="N76" s="53"/>
      <c r="O76" s="53"/>
    </row>
    <row r="77" spans="1:15">
      <c r="A77" s="53"/>
      <c r="B77" s="46" t="s">
        <v>93</v>
      </c>
      <c r="C77" s="47">
        <v>500</v>
      </c>
      <c r="D77" s="53"/>
      <c r="E77" s="53"/>
      <c r="F77" s="53"/>
      <c r="G77" s="53"/>
      <c r="H77" s="53"/>
      <c r="I77" s="53"/>
      <c r="J77" s="53"/>
      <c r="K77" s="53"/>
      <c r="L77" s="53"/>
      <c r="M77" s="53"/>
      <c r="N77" s="53"/>
      <c r="O77" s="53"/>
    </row>
    <row r="78" spans="1:15">
      <c r="A78" s="53"/>
      <c r="B78" s="46" t="s">
        <v>94</v>
      </c>
      <c r="C78" s="47">
        <v>600</v>
      </c>
      <c r="D78" s="53"/>
      <c r="E78" s="53"/>
      <c r="F78" s="53"/>
      <c r="G78" s="53"/>
      <c r="H78" s="53"/>
      <c r="I78" s="53"/>
      <c r="J78" s="53"/>
      <c r="K78" s="53"/>
      <c r="L78" s="53"/>
      <c r="M78" s="53"/>
      <c r="N78" s="53"/>
      <c r="O78" s="53"/>
    </row>
    <row r="79" spans="1:15">
      <c r="A79" s="53"/>
      <c r="B79" s="46" t="s">
        <v>95</v>
      </c>
      <c r="C79" s="47">
        <v>800</v>
      </c>
      <c r="D79" s="53"/>
      <c r="E79" s="53"/>
      <c r="F79" s="53"/>
      <c r="G79" s="53"/>
      <c r="H79" s="53"/>
      <c r="I79" s="53"/>
      <c r="J79" s="53"/>
      <c r="K79" s="53"/>
      <c r="L79" s="53"/>
      <c r="M79" s="53"/>
      <c r="N79" s="53"/>
      <c r="O79" s="53"/>
    </row>
    <row r="80" spans="1:15">
      <c r="A80" s="53"/>
      <c r="B80" s="46" t="s">
        <v>96</v>
      </c>
      <c r="C80" s="47">
        <v>500</v>
      </c>
      <c r="D80" s="53"/>
      <c r="E80" s="53"/>
      <c r="F80" s="53"/>
      <c r="G80" s="53"/>
      <c r="H80" s="53"/>
      <c r="I80" s="53"/>
      <c r="J80" s="53"/>
      <c r="K80" s="53"/>
      <c r="L80" s="53"/>
      <c r="M80" s="53"/>
      <c r="N80" s="53"/>
      <c r="O80" s="53"/>
    </row>
    <row r="81" spans="1:15">
      <c r="A81" s="53"/>
      <c r="B81" s="46" t="s">
        <v>97</v>
      </c>
      <c r="C81" s="47">
        <v>600</v>
      </c>
      <c r="D81" s="53"/>
      <c r="E81" s="53"/>
      <c r="F81" s="53"/>
      <c r="G81" s="53"/>
      <c r="H81" s="53"/>
      <c r="I81" s="53"/>
      <c r="J81" s="53"/>
      <c r="K81" s="53"/>
      <c r="L81" s="53"/>
      <c r="M81" s="53"/>
      <c r="N81" s="53"/>
      <c r="O81" s="53"/>
    </row>
    <row r="82" spans="1:15">
      <c r="A82" s="53"/>
      <c r="B82" s="46" t="s">
        <v>98</v>
      </c>
      <c r="C82" s="47">
        <v>500</v>
      </c>
      <c r="D82" s="53"/>
      <c r="E82" s="53"/>
      <c r="F82" s="53"/>
      <c r="G82" s="53"/>
      <c r="H82" s="53"/>
      <c r="I82" s="53"/>
      <c r="J82" s="53"/>
      <c r="K82" s="53"/>
      <c r="L82" s="53"/>
      <c r="M82" s="53"/>
      <c r="N82" s="53"/>
      <c r="O82" s="53"/>
    </row>
    <row r="83" spans="1:15" ht="19.5">
      <c r="A83" s="53"/>
      <c r="B83" s="38" t="s">
        <v>108</v>
      </c>
      <c r="C83" s="39">
        <f>SUM(C71:C82)</f>
        <v>8250</v>
      </c>
      <c r="D83" s="205" t="s">
        <v>109</v>
      </c>
      <c r="E83" s="205"/>
      <c r="F83" s="205"/>
      <c r="G83" s="205"/>
      <c r="H83" s="205"/>
      <c r="I83" s="53"/>
      <c r="J83" s="53"/>
      <c r="K83" s="53"/>
      <c r="L83" s="53"/>
      <c r="M83" s="53"/>
      <c r="N83" s="53"/>
      <c r="O83" s="53"/>
    </row>
    <row r="84" spans="1:15" ht="19.5">
      <c r="A84" s="53"/>
      <c r="B84" s="53"/>
      <c r="C84" s="53"/>
      <c r="D84" s="206">
        <f>C83</f>
        <v>8250</v>
      </c>
      <c r="E84" s="206"/>
      <c r="F84" s="206"/>
      <c r="G84" s="206"/>
      <c r="H84" s="206"/>
      <c r="I84" s="53"/>
      <c r="J84" s="53"/>
      <c r="K84" s="53"/>
      <c r="L84" s="53"/>
      <c r="M84" s="54"/>
      <c r="N84" s="53"/>
      <c r="O84" s="53"/>
    </row>
    <row r="85" spans="1:15">
      <c r="A85" s="53"/>
      <c r="B85" s="53"/>
      <c r="C85" s="53"/>
      <c r="D85" s="53"/>
      <c r="E85" s="53"/>
      <c r="F85" s="53"/>
      <c r="G85" s="53"/>
      <c r="H85" s="53"/>
      <c r="I85" s="53"/>
      <c r="J85" s="53"/>
      <c r="K85" s="53"/>
      <c r="L85" s="53"/>
      <c r="M85" s="53"/>
      <c r="N85" s="53"/>
      <c r="O85" s="53"/>
    </row>
    <row r="86" spans="1:15">
      <c r="A86" s="55"/>
      <c r="B86" s="55"/>
      <c r="C86" s="55"/>
      <c r="D86" s="55"/>
      <c r="E86" s="55"/>
      <c r="F86" s="55"/>
      <c r="G86" s="55"/>
      <c r="H86" s="55"/>
      <c r="I86" s="55"/>
      <c r="J86" s="55"/>
      <c r="K86" s="55"/>
      <c r="L86" s="55"/>
      <c r="M86" s="55"/>
      <c r="N86" s="55"/>
      <c r="O86" s="55"/>
    </row>
    <row r="87" spans="1:15" ht="26.1">
      <c r="A87" s="201" t="s">
        <v>110</v>
      </c>
      <c r="B87" s="201"/>
      <c r="C87" s="201"/>
      <c r="D87" s="201"/>
      <c r="E87" s="201"/>
      <c r="F87" s="201"/>
      <c r="G87" s="201"/>
      <c r="H87" s="201"/>
      <c r="I87" s="201"/>
      <c r="J87" s="201"/>
      <c r="K87" s="201"/>
      <c r="L87" s="201"/>
      <c r="M87" s="201"/>
      <c r="N87" s="201"/>
      <c r="O87" s="201"/>
    </row>
    <row r="88" spans="1:15">
      <c r="A88" s="55"/>
      <c r="B88" s="55"/>
      <c r="C88" s="55"/>
      <c r="D88" s="55"/>
      <c r="E88" s="55"/>
      <c r="F88" s="55"/>
      <c r="G88" s="55"/>
      <c r="H88" s="55"/>
      <c r="I88" s="55"/>
      <c r="J88" s="55"/>
      <c r="K88" s="55"/>
      <c r="L88" s="55"/>
      <c r="M88" s="55"/>
      <c r="N88" s="55"/>
      <c r="O88" s="55"/>
    </row>
    <row r="89" spans="1:15" ht="14.45" customHeight="1">
      <c r="A89" s="55"/>
      <c r="B89" s="202" t="s">
        <v>110</v>
      </c>
      <c r="C89" s="202"/>
      <c r="D89" s="78"/>
      <c r="E89" s="183" t="s">
        <v>83</v>
      </c>
      <c r="F89" s="184"/>
      <c r="G89" s="58"/>
      <c r="H89" s="79"/>
      <c r="I89" s="56"/>
      <c r="J89" s="55"/>
      <c r="K89" s="55"/>
      <c r="L89" s="55"/>
      <c r="M89" s="55"/>
      <c r="N89" s="55"/>
      <c r="O89" s="55"/>
    </row>
    <row r="90" spans="1:15" ht="14.45" customHeight="1">
      <c r="A90" s="55"/>
      <c r="B90" s="80" t="s">
        <v>85</v>
      </c>
      <c r="C90" s="81" t="s">
        <v>110</v>
      </c>
      <c r="D90" s="78"/>
      <c r="E90" s="96" t="s">
        <v>111</v>
      </c>
      <c r="F90" s="97">
        <f>MIN(C91:C102)</f>
        <v>-1100</v>
      </c>
      <c r="G90" s="58"/>
      <c r="H90" s="79"/>
      <c r="I90" s="56"/>
      <c r="J90" s="55"/>
      <c r="K90" s="55"/>
      <c r="L90" s="55"/>
      <c r="M90" s="55"/>
      <c r="N90" s="55"/>
      <c r="O90" s="55"/>
    </row>
    <row r="91" spans="1:15" ht="14.45" customHeight="1">
      <c r="A91" s="98">
        <f>$F$92</f>
        <v>1662.5</v>
      </c>
      <c r="B91" s="99" t="s">
        <v>87</v>
      </c>
      <c r="C91" s="100">
        <v>900</v>
      </c>
      <c r="D91" s="57"/>
      <c r="E91" s="96" t="s">
        <v>112</v>
      </c>
      <c r="F91" s="97">
        <f>MAX(C91:C102)</f>
        <v>4000</v>
      </c>
      <c r="G91" s="58"/>
      <c r="H91" s="58"/>
      <c r="I91" s="56"/>
      <c r="J91" s="55"/>
      <c r="K91" s="55"/>
      <c r="L91" s="55"/>
      <c r="M91" s="55"/>
      <c r="N91" s="55"/>
      <c r="O91" s="55"/>
    </row>
    <row r="92" spans="1:15" ht="14.45" customHeight="1">
      <c r="A92" s="98">
        <f t="shared" ref="A92:A102" si="1">$F$92</f>
        <v>1662.5</v>
      </c>
      <c r="B92" s="99" t="s">
        <v>88</v>
      </c>
      <c r="C92" s="100">
        <f t="shared" ref="C92:C102" si="2">C13-C32</f>
        <v>-1100</v>
      </c>
      <c r="D92" s="57"/>
      <c r="E92" s="96" t="s">
        <v>113</v>
      </c>
      <c r="F92" s="97">
        <f>AVERAGE(C91:C102)</f>
        <v>1662.5</v>
      </c>
      <c r="G92" s="58"/>
      <c r="H92" s="58"/>
      <c r="I92" s="56"/>
      <c r="J92" s="55"/>
      <c r="K92" s="55"/>
      <c r="L92" s="55"/>
      <c r="M92" s="55"/>
      <c r="N92" s="55"/>
      <c r="O92" s="55"/>
    </row>
    <row r="93" spans="1:15" ht="14.45" customHeight="1">
      <c r="A93" s="98">
        <f t="shared" si="1"/>
        <v>1662.5</v>
      </c>
      <c r="B93" s="99" t="s">
        <v>89</v>
      </c>
      <c r="C93" s="100">
        <f t="shared" si="2"/>
        <v>1000</v>
      </c>
      <c r="D93" s="57"/>
      <c r="E93" s="58"/>
      <c r="F93" s="58"/>
      <c r="G93" s="58"/>
      <c r="H93" s="58"/>
      <c r="I93" s="56"/>
      <c r="J93" s="55"/>
      <c r="K93" s="55"/>
      <c r="L93" s="55"/>
      <c r="M93" s="55"/>
      <c r="N93" s="55"/>
      <c r="O93" s="55"/>
    </row>
    <row r="94" spans="1:15" ht="14.45" customHeight="1">
      <c r="A94" s="98">
        <f t="shared" si="1"/>
        <v>1662.5</v>
      </c>
      <c r="B94" s="99" t="s">
        <v>90</v>
      </c>
      <c r="C94" s="100">
        <f t="shared" si="2"/>
        <v>2450</v>
      </c>
      <c r="D94" s="57"/>
      <c r="E94" s="58"/>
      <c r="F94" s="58"/>
      <c r="G94" s="58"/>
      <c r="H94" s="58"/>
      <c r="I94" s="56"/>
      <c r="J94" s="55"/>
      <c r="K94" s="55"/>
      <c r="L94" s="55"/>
      <c r="M94" s="55"/>
      <c r="N94" s="55"/>
      <c r="O94" s="55"/>
    </row>
    <row r="95" spans="1:15" ht="14.45" customHeight="1">
      <c r="A95" s="98">
        <f t="shared" si="1"/>
        <v>1662.5</v>
      </c>
      <c r="B95" s="99" t="s">
        <v>91</v>
      </c>
      <c r="C95" s="100">
        <f t="shared" si="2"/>
        <v>1950</v>
      </c>
      <c r="D95" s="57"/>
      <c r="E95" s="58"/>
      <c r="F95" s="58"/>
      <c r="G95" s="58"/>
      <c r="H95" s="58"/>
      <c r="I95" s="56"/>
      <c r="J95" s="55"/>
      <c r="K95" s="55"/>
      <c r="L95" s="55"/>
      <c r="M95" s="55"/>
      <c r="N95" s="55"/>
      <c r="O95" s="55"/>
    </row>
    <row r="96" spans="1:15" ht="14.45" customHeight="1">
      <c r="A96" s="98">
        <f t="shared" si="1"/>
        <v>1662.5</v>
      </c>
      <c r="B96" s="99" t="s">
        <v>92</v>
      </c>
      <c r="C96" s="100">
        <f t="shared" si="2"/>
        <v>2900</v>
      </c>
      <c r="D96" s="57"/>
      <c r="E96" s="58"/>
      <c r="F96" s="58"/>
      <c r="G96" s="58"/>
      <c r="H96" s="58"/>
      <c r="I96" s="56"/>
      <c r="J96" s="55"/>
      <c r="K96" s="55"/>
      <c r="L96" s="55"/>
      <c r="M96" s="55"/>
      <c r="N96" s="55"/>
      <c r="O96" s="55"/>
    </row>
    <row r="97" spans="1:15" ht="14.45" customHeight="1">
      <c r="A97" s="98">
        <f t="shared" si="1"/>
        <v>1662.5</v>
      </c>
      <c r="B97" s="99" t="s">
        <v>93</v>
      </c>
      <c r="C97" s="100">
        <f t="shared" si="2"/>
        <v>2300</v>
      </c>
      <c r="D97" s="57"/>
      <c r="E97" s="58"/>
      <c r="F97" s="58"/>
      <c r="G97" s="58"/>
      <c r="H97" s="58"/>
      <c r="I97" s="56"/>
      <c r="J97" s="55"/>
      <c r="K97" s="55"/>
      <c r="L97" s="55"/>
      <c r="M97" s="55"/>
      <c r="N97" s="55"/>
      <c r="O97" s="55"/>
    </row>
    <row r="98" spans="1:15" ht="14.45" customHeight="1">
      <c r="A98" s="98">
        <f t="shared" si="1"/>
        <v>1662.5</v>
      </c>
      <c r="B98" s="99" t="s">
        <v>94</v>
      </c>
      <c r="C98" s="100">
        <f t="shared" si="2"/>
        <v>1600</v>
      </c>
      <c r="D98" s="57"/>
      <c r="E98" s="58"/>
      <c r="F98" s="58"/>
      <c r="G98" s="58"/>
      <c r="H98" s="58"/>
      <c r="I98" s="56"/>
      <c r="J98" s="55"/>
      <c r="K98" s="55"/>
      <c r="L98" s="55"/>
      <c r="M98" s="55"/>
      <c r="N98" s="55"/>
      <c r="O98" s="55"/>
    </row>
    <row r="99" spans="1:15" ht="14.45" customHeight="1">
      <c r="A99" s="98">
        <f t="shared" si="1"/>
        <v>1662.5</v>
      </c>
      <c r="B99" s="99" t="s">
        <v>95</v>
      </c>
      <c r="C99" s="100">
        <f t="shared" si="2"/>
        <v>150</v>
      </c>
      <c r="D99" s="57"/>
      <c r="E99" s="58"/>
      <c r="F99" s="58"/>
      <c r="G99" s="58"/>
      <c r="H99" s="58"/>
      <c r="I99" s="56"/>
      <c r="J99" s="55"/>
      <c r="K99" s="55"/>
      <c r="L99" s="55"/>
      <c r="M99" s="55"/>
      <c r="N99" s="55"/>
      <c r="O99" s="55"/>
    </row>
    <row r="100" spans="1:15" ht="14.45" customHeight="1">
      <c r="A100" s="98">
        <f t="shared" si="1"/>
        <v>1662.5</v>
      </c>
      <c r="B100" s="99" t="s">
        <v>96</v>
      </c>
      <c r="C100" s="100">
        <f t="shared" si="2"/>
        <v>1100</v>
      </c>
      <c r="D100" s="57"/>
      <c r="E100" s="58"/>
      <c r="F100" s="58"/>
      <c r="G100" s="58"/>
      <c r="H100" s="58"/>
      <c r="I100" s="56"/>
      <c r="J100" s="55"/>
      <c r="K100" s="55"/>
      <c r="L100" s="55"/>
      <c r="M100" s="55"/>
      <c r="N100" s="55"/>
      <c r="O100" s="55"/>
    </row>
    <row r="101" spans="1:15" ht="14.45" customHeight="1">
      <c r="A101" s="98">
        <f t="shared" si="1"/>
        <v>1662.5</v>
      </c>
      <c r="B101" s="99" t="s">
        <v>97</v>
      </c>
      <c r="C101" s="100">
        <f t="shared" si="2"/>
        <v>2700</v>
      </c>
      <c r="D101" s="57"/>
      <c r="E101" s="58"/>
      <c r="F101" s="58"/>
      <c r="G101" s="58"/>
      <c r="H101" s="58"/>
      <c r="I101" s="56"/>
      <c r="J101" s="55"/>
      <c r="K101" s="55"/>
      <c r="L101" s="55"/>
      <c r="M101" s="55"/>
      <c r="N101" s="55"/>
      <c r="O101" s="55"/>
    </row>
    <row r="102" spans="1:15" ht="14.45" customHeight="1">
      <c r="A102" s="98">
        <f t="shared" si="1"/>
        <v>1662.5</v>
      </c>
      <c r="B102" s="99" t="s">
        <v>98</v>
      </c>
      <c r="C102" s="100">
        <f t="shared" si="2"/>
        <v>4000</v>
      </c>
      <c r="D102" s="191"/>
      <c r="E102" s="192"/>
      <c r="F102" s="192"/>
      <c r="G102" s="192"/>
      <c r="H102" s="192"/>
      <c r="I102" s="56"/>
      <c r="J102" s="55"/>
      <c r="K102" s="55"/>
      <c r="L102" s="55"/>
      <c r="M102" s="55"/>
      <c r="N102" s="55"/>
      <c r="O102" s="55"/>
    </row>
    <row r="103" spans="1:15" ht="17.100000000000001" customHeight="1">
      <c r="A103" s="55"/>
      <c r="B103" s="38" t="s">
        <v>114</v>
      </c>
      <c r="C103" s="39">
        <f>SUM(C91:C102)</f>
        <v>19950</v>
      </c>
      <c r="D103" s="193"/>
      <c r="E103" s="194"/>
      <c r="F103" s="194"/>
      <c r="G103" s="194"/>
      <c r="H103" s="194"/>
      <c r="I103" s="56"/>
      <c r="J103" s="55"/>
      <c r="K103" s="55"/>
      <c r="L103" s="55"/>
      <c r="M103" s="55"/>
      <c r="N103" s="55"/>
      <c r="O103" s="55"/>
    </row>
    <row r="104" spans="1:15" ht="14.45" customHeight="1">
      <c r="A104" s="55"/>
      <c r="B104" s="55"/>
      <c r="C104" s="55"/>
      <c r="D104" s="55"/>
      <c r="E104" s="55"/>
      <c r="F104" s="55"/>
      <c r="G104" s="55"/>
      <c r="H104" s="55"/>
      <c r="I104" s="55"/>
      <c r="J104" s="55"/>
      <c r="K104" s="55"/>
      <c r="L104" s="55"/>
      <c r="M104" s="55"/>
      <c r="N104" s="55"/>
      <c r="O104" s="55"/>
    </row>
  </sheetData>
  <mergeCells count="22">
    <mergeCell ref="D102:H102"/>
    <mergeCell ref="D103:H103"/>
    <mergeCell ref="B10:C10"/>
    <mergeCell ref="B29:C29"/>
    <mergeCell ref="A27:O27"/>
    <mergeCell ref="A47:O47"/>
    <mergeCell ref="B49:C49"/>
    <mergeCell ref="D63:H63"/>
    <mergeCell ref="A67:O67"/>
    <mergeCell ref="A87:O87"/>
    <mergeCell ref="B89:C89"/>
    <mergeCell ref="D43:H43"/>
    <mergeCell ref="D44:H44"/>
    <mergeCell ref="B69:C69"/>
    <mergeCell ref="D83:H83"/>
    <mergeCell ref="D84:H84"/>
    <mergeCell ref="E89:F89"/>
    <mergeCell ref="B2:D4"/>
    <mergeCell ref="D24:H24"/>
    <mergeCell ref="D23:H23"/>
    <mergeCell ref="A8:O8"/>
    <mergeCell ref="D62:H62"/>
  </mergeCells>
  <phoneticPr fontId="13" type="noConversion"/>
  <pageMargins left="0.7" right="0.7" top="0.75" bottom="0.75" header="0.3" footer="0.3"/>
  <pageSetup paperSize="9" scale="40" orientation="portrait" r:id="rId1"/>
  <drawing r:id="rId2"/>
  <tableParts count="5">
    <tablePart r:id="rId3"/>
    <tablePart r:id="rId4"/>
    <tablePart r:id="rId5"/>
    <tablePart r:id="rId6"/>
    <tablePart r:id="rId7"/>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20ABB-DC7B-4218-B912-2F7D2B3DC747}">
  <sheetPr codeName="Sheet10">
    <tabColor rgb="FFFAD3E9"/>
  </sheetPr>
  <dimension ref="B2:Q29"/>
  <sheetViews>
    <sheetView zoomScale="70" zoomScaleNormal="70" workbookViewId="0">
      <selection activeCell="E27" sqref="E27:I29"/>
    </sheetView>
  </sheetViews>
  <sheetFormatPr defaultColWidth="8.5703125" defaultRowHeight="14.45"/>
  <cols>
    <col min="1" max="10" width="8.5703125" style="60"/>
    <col min="11" max="11" width="9.5703125" style="60" bestFit="1" customWidth="1"/>
    <col min="12" max="13" width="8.5703125" style="60"/>
    <col min="14" max="14" width="11.5703125" style="60" customWidth="1"/>
    <col min="15" max="15" width="8.5703125" style="60"/>
    <col min="16" max="16" width="11" style="60" customWidth="1"/>
    <col min="17" max="16384" width="8.5703125" style="60"/>
  </cols>
  <sheetData>
    <row r="2" spans="2:17">
      <c r="B2" s="134" t="s">
        <v>115</v>
      </c>
      <c r="C2" s="134"/>
      <c r="D2" s="134"/>
      <c r="G2" s="62"/>
    </row>
    <row r="3" spans="2:17">
      <c r="B3" s="134"/>
      <c r="C3" s="134"/>
      <c r="D3" s="134"/>
      <c r="F3" s="63" t="s">
        <v>2</v>
      </c>
      <c r="G3" s="62"/>
      <c r="K3" s="95">
        <f ca="1">TODAY()</f>
        <v>44571</v>
      </c>
    </row>
    <row r="4" spans="2:17" ht="15" thickBot="1">
      <c r="B4" s="135"/>
      <c r="C4" s="135"/>
      <c r="D4" s="135"/>
      <c r="E4" s="64"/>
      <c r="F4" s="64"/>
      <c r="G4" s="65"/>
      <c r="H4" s="64"/>
      <c r="I4" s="64"/>
      <c r="J4" s="64"/>
      <c r="K4" s="64"/>
    </row>
    <row r="5" spans="2:17" ht="18.600000000000001">
      <c r="B5" s="66"/>
      <c r="C5" s="66"/>
      <c r="D5" s="66"/>
    </row>
    <row r="6" spans="2:17">
      <c r="E6" s="207" t="s">
        <v>116</v>
      </c>
      <c r="F6" s="208"/>
      <c r="G6" s="208"/>
      <c r="H6" s="208"/>
      <c r="I6" s="208"/>
    </row>
    <row r="7" spans="2:17">
      <c r="E7" s="208"/>
      <c r="F7" s="208"/>
      <c r="G7" s="208"/>
      <c r="H7" s="208"/>
      <c r="I7" s="208"/>
    </row>
    <row r="9" spans="2:17">
      <c r="N9" s="211" t="s">
        <v>117</v>
      </c>
      <c r="O9" s="212"/>
      <c r="P9" s="212"/>
      <c r="Q9" s="213"/>
    </row>
    <row r="10" spans="2:17">
      <c r="N10" s="214"/>
      <c r="O10" s="215"/>
      <c r="P10" s="215"/>
      <c r="Q10" s="216"/>
    </row>
    <row r="11" spans="2:17" ht="15.6">
      <c r="N11" s="221">
        <v>2022</v>
      </c>
      <c r="O11" s="222"/>
      <c r="P11" s="217">
        <v>2023</v>
      </c>
      <c r="Q11" s="218"/>
    </row>
    <row r="12" spans="2:17" ht="15.6">
      <c r="N12" s="223">
        <f>AVERAGE(Sheet1!B2:B13)</f>
        <v>2741.6666666666665</v>
      </c>
      <c r="O12" s="224"/>
      <c r="P12" s="219">
        <f>AVERAGE(Sheet1!C14:C25)</f>
        <v>5586.5448033393759</v>
      </c>
      <c r="Q12" s="220"/>
    </row>
    <row r="13" spans="2:17">
      <c r="N13" s="225" t="s">
        <v>118</v>
      </c>
      <c r="O13" s="226"/>
      <c r="P13" s="226"/>
      <c r="Q13" s="227"/>
    </row>
    <row r="14" spans="2:17">
      <c r="N14" s="228"/>
      <c r="O14" s="229"/>
      <c r="P14" s="229"/>
      <c r="Q14" s="230"/>
    </row>
    <row r="15" spans="2:17">
      <c r="N15" s="231" t="str">
        <f>IF(P12&gt;N12,"Excellent",IF(P12=N12,"Good","Work Harder"))</f>
        <v>Excellent</v>
      </c>
      <c r="O15" s="232"/>
      <c r="P15" s="232"/>
      <c r="Q15" s="233"/>
    </row>
    <row r="16" spans="2:17">
      <c r="N16" s="231"/>
      <c r="O16" s="232"/>
      <c r="P16" s="232"/>
      <c r="Q16" s="233"/>
    </row>
    <row r="17" spans="5:17">
      <c r="N17" s="231"/>
      <c r="O17" s="232"/>
      <c r="P17" s="232"/>
      <c r="Q17" s="233"/>
    </row>
    <row r="18" spans="5:17">
      <c r="N18" s="231"/>
      <c r="O18" s="232"/>
      <c r="P18" s="232"/>
      <c r="Q18" s="233"/>
    </row>
    <row r="19" spans="5:17">
      <c r="N19" s="234"/>
      <c r="O19" s="235"/>
      <c r="P19" s="235"/>
      <c r="Q19" s="236"/>
    </row>
    <row r="27" spans="5:17">
      <c r="E27" s="209" t="s">
        <v>119</v>
      </c>
      <c r="F27" s="210"/>
      <c r="G27" s="210"/>
      <c r="H27" s="210"/>
      <c r="I27" s="210"/>
    </row>
    <row r="28" spans="5:17">
      <c r="E28" s="210"/>
      <c r="F28" s="210"/>
      <c r="G28" s="210"/>
      <c r="H28" s="210"/>
      <c r="I28" s="210"/>
    </row>
    <row r="29" spans="5:17">
      <c r="E29" s="210"/>
      <c r="F29" s="210"/>
      <c r="G29" s="210"/>
      <c r="H29" s="210"/>
      <c r="I29" s="210"/>
    </row>
  </sheetData>
  <mergeCells count="10">
    <mergeCell ref="B2:D4"/>
    <mergeCell ref="E6:I7"/>
    <mergeCell ref="E27:I29"/>
    <mergeCell ref="N9:Q10"/>
    <mergeCell ref="P11:Q11"/>
    <mergeCell ref="P12:Q12"/>
    <mergeCell ref="N11:O11"/>
    <mergeCell ref="N12:O12"/>
    <mergeCell ref="N13:Q14"/>
    <mergeCell ref="N15:Q19"/>
  </mergeCells>
  <pageMargins left="0.7" right="0.7" top="0.75" bottom="0.75" header="0.3" footer="0.3"/>
  <pageSetup paperSize="9" scale="55"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9A8224EE397914AB290C156C5F2772D" ma:contentTypeVersion="8" ma:contentTypeDescription="Create a new document." ma:contentTypeScope="" ma:versionID="06c3893f9a4b03219ad4bbfe34a5ba76">
  <xsd:schema xmlns:xsd="http://www.w3.org/2001/XMLSchema" xmlns:xs="http://www.w3.org/2001/XMLSchema" xmlns:p="http://schemas.microsoft.com/office/2006/metadata/properties" xmlns:ns2="5252b940-22b6-47d8-b7f9-1e28c72ca591" targetNamespace="http://schemas.microsoft.com/office/2006/metadata/properties" ma:root="true" ma:fieldsID="c6775d7143a0ac8860569b602cfe635a" ns2:_="">
    <xsd:import namespace="5252b940-22b6-47d8-b7f9-1e28c72ca591"/>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252b940-22b6-47d8-b7f9-1e28c72ca59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CDCB03E-68DE-4166-9CBB-9A1ABE81604C}"/>
</file>

<file path=customXml/itemProps2.xml><?xml version="1.0" encoding="utf-8"?>
<ds:datastoreItem xmlns:ds="http://schemas.openxmlformats.org/officeDocument/2006/customXml" ds:itemID="{B8F9F55B-4A04-4DB9-BFA7-93D59F20BE2F}"/>
</file>

<file path=customXml/itemProps3.xml><?xml version="1.0" encoding="utf-8"?>
<ds:datastoreItem xmlns:ds="http://schemas.openxmlformats.org/officeDocument/2006/customXml" ds:itemID="{A60E813A-6DF6-412E-B96C-11282F87AE83}"/>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USER</dc:creator>
  <cp:keywords/>
  <dc:description/>
  <cp:lastModifiedBy>Lincoln Chia Nyang Dee /IT</cp:lastModifiedBy>
  <cp:revision/>
  <dcterms:created xsi:type="dcterms:W3CDTF">2021-11-27T03:52:14Z</dcterms:created>
  <dcterms:modified xsi:type="dcterms:W3CDTF">2022-01-10T00:21:03Z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0x010100B9A8224EE397914AB290C156C5F2772D</vt:lpwstr>
  </property>
</Properties>
</file>