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6.xml" ContentType="application/vnd.openxmlformats-officedocument.spreadsheetml.table+xml"/>
  <Override PartName="/xl/drawings/drawing8.xml" ContentType="application/vnd.openxmlformats-officedocument.drawing+xml"/>
  <Override PartName="/xl/tables/table1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1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9.xml" ContentType="application/vnd.openxmlformats-officedocument.spreadsheetml.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Ngee Ann\2.2\"/>
    </mc:Choice>
  </mc:AlternateContent>
  <xr:revisionPtr revIDLastSave="0" documentId="13_ncr:1_{B2E036B9-21F2-4644-8E2D-2737C4335B5E}" xr6:coauthVersionLast="47" xr6:coauthVersionMax="47" xr10:uidLastSave="{00000000-0000-0000-0000-000000000000}"/>
  <bookViews>
    <workbookView xWindow="-110" yWindow="-110" windowWidth="19420" windowHeight="11020" firstSheet="11" activeTab="11" xr2:uid="{DCF29D4F-2C23-4A37-81B1-CE6BE86BB617}"/>
  </bookViews>
  <sheets>
    <sheet name="Dashboard" sheetId="2" r:id="rId1"/>
    <sheet name="Assets" sheetId="8" r:id="rId2"/>
    <sheet name="Liabilities" sheetId="5" r:id="rId3"/>
    <sheet name="Investments" sheetId="4" r:id="rId4"/>
    <sheet name="Calculations" sheetId="3" r:id="rId5"/>
    <sheet name="CPF" sheetId="6" r:id="rId6"/>
    <sheet name="Ledger" sheetId="7" r:id="rId7"/>
    <sheet name="Sheet1" sheetId="11" state="hidden" r:id="rId8"/>
    <sheet name="Liabilities Forecast Sheet" sheetId="16" state="hidden" r:id="rId9"/>
    <sheet name="LiabilitiesPrediction" sheetId="13" state="hidden" r:id="rId10"/>
    <sheet name="Sheet2" sheetId="12" state="hidden" r:id="rId11"/>
    <sheet name="Forecasts" sheetId="9" r:id="rId12"/>
  </sheets>
  <definedNames>
    <definedName name="Ledger">Table5[#All]</definedName>
    <definedName name="LedgerFinal">Table5[]</definedName>
    <definedName name="TransactionType">Ledger!$J$4:$J$5</definedName>
    <definedName name="wromg">Table5[#All]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7" l="1"/>
  <c r="C91" i="3"/>
  <c r="J15" i="5"/>
  <c r="D14" i="5"/>
  <c r="G14" i="5"/>
  <c r="D30" i="6" l="1"/>
  <c r="D31" i="6"/>
  <c r="D32" i="6"/>
  <c r="D33" i="6"/>
  <c r="D34" i="6"/>
  <c r="D35" i="6"/>
  <c r="D36" i="6"/>
  <c r="D37" i="6"/>
  <c r="D38" i="6"/>
  <c r="D39" i="6"/>
  <c r="D40" i="6"/>
  <c r="C14" i="16"/>
  <c r="B13" i="13" l="1"/>
  <c r="B12" i="13"/>
  <c r="B11" i="13"/>
  <c r="B10" i="13"/>
  <c r="B9" i="13"/>
  <c r="B8" i="13"/>
  <c r="B6" i="13"/>
  <c r="B5" i="13"/>
  <c r="B4" i="13"/>
  <c r="B3" i="13"/>
  <c r="B2" i="13"/>
  <c r="A31" i="12"/>
  <c r="A18" i="12"/>
  <c r="B4" i="12"/>
  <c r="B5" i="12"/>
  <c r="B6" i="12"/>
  <c r="B7" i="12"/>
  <c r="B8" i="12"/>
  <c r="B9" i="12"/>
  <c r="B10" i="12"/>
  <c r="B11" i="12"/>
  <c r="B12" i="12"/>
  <c r="B13" i="12"/>
  <c r="B14" i="12"/>
  <c r="B3" i="12"/>
  <c r="F17" i="7"/>
  <c r="B3" i="11"/>
  <c r="B4" i="11"/>
  <c r="B5" i="11"/>
  <c r="B6" i="11"/>
  <c r="B7" i="11"/>
  <c r="B8" i="11"/>
  <c r="B9" i="11"/>
  <c r="B10" i="11"/>
  <c r="B11" i="11"/>
  <c r="B12" i="11"/>
  <c r="B13" i="11"/>
  <c r="B2" i="11"/>
  <c r="P11" i="3"/>
  <c r="A18" i="3" s="1"/>
  <c r="F10" i="7"/>
  <c r="B11" i="4" a="1"/>
  <c r="K3" i="2"/>
  <c r="K3" i="9"/>
  <c r="C32" i="3"/>
  <c r="C92" i="3" s="1"/>
  <c r="C33" i="3"/>
  <c r="C93" i="3" s="1"/>
  <c r="C34" i="3"/>
  <c r="C94" i="3" s="1"/>
  <c r="C35" i="3"/>
  <c r="C95" i="3" s="1"/>
  <c r="C96" i="3"/>
  <c r="C37" i="3"/>
  <c r="C97" i="3" s="1"/>
  <c r="C38" i="3"/>
  <c r="C98" i="3" s="1"/>
  <c r="C39" i="3"/>
  <c r="C99" i="3" s="1"/>
  <c r="C40" i="3"/>
  <c r="C100" i="3" s="1"/>
  <c r="C101" i="3"/>
  <c r="C42" i="3"/>
  <c r="C102" i="3" s="1"/>
  <c r="C83" i="3"/>
  <c r="D84" i="3" s="1"/>
  <c r="C63" i="3"/>
  <c r="D63" i="3" s="1"/>
  <c r="F14" i="7"/>
  <c r="F15" i="7"/>
  <c r="F13" i="7"/>
  <c r="F12" i="7"/>
  <c r="F11" i="7"/>
  <c r="K3" i="3"/>
  <c r="J3" i="8"/>
  <c r="F6" i="7"/>
  <c r="F7" i="7"/>
  <c r="F8" i="7"/>
  <c r="F9" i="7"/>
  <c r="F5" i="7"/>
  <c r="E5" i="7" a="1"/>
  <c r="E5" i="7" s="1"/>
  <c r="H8" i="4" a="1"/>
  <c r="H8" i="4" s="1"/>
  <c r="D14" i="16"/>
  <c r="E14" i="16"/>
  <c r="C25" i="13"/>
  <c r="C24" i="13"/>
  <c r="C15" i="13"/>
  <c r="C19" i="13"/>
  <c r="C16" i="13"/>
  <c r="C17" i="13"/>
  <c r="C21" i="13"/>
  <c r="C20" i="13"/>
  <c r="C14" i="13"/>
  <c r="C22" i="13"/>
  <c r="C23" i="13"/>
  <c r="C18" i="13"/>
  <c r="C14" i="11"/>
  <c r="C24" i="11"/>
  <c r="C16" i="11"/>
  <c r="C18" i="11"/>
  <c r="C22" i="11"/>
  <c r="C23" i="11"/>
  <c r="C15" i="11"/>
  <c r="C20" i="11"/>
  <c r="C21" i="11"/>
  <c r="C17" i="11"/>
  <c r="C19" i="11"/>
  <c r="B19" i="12"/>
  <c r="C25" i="11"/>
  <c r="J9" i="8"/>
  <c r="P13" i="5"/>
  <c r="D10" i="8"/>
  <c r="M13" i="5"/>
  <c r="M9" i="8"/>
  <c r="G9" i="8"/>
  <c r="N12" i="9" l="1"/>
  <c r="N57" i="9"/>
  <c r="D29" i="6"/>
  <c r="D41" i="6" s="1"/>
  <c r="N33" i="9"/>
  <c r="B15" i="12"/>
  <c r="P33" i="9"/>
  <c r="F3" i="13"/>
  <c r="F2" i="13"/>
  <c r="F7" i="13"/>
  <c r="F18" i="13"/>
  <c r="F15" i="13"/>
  <c r="F23" i="13"/>
  <c r="F8" i="13"/>
  <c r="F10" i="13"/>
  <c r="F4" i="13"/>
  <c r="F20" i="13"/>
  <c r="F17" i="13"/>
  <c r="F14" i="13"/>
  <c r="F9" i="13"/>
  <c r="F25" i="13"/>
  <c r="F22" i="13"/>
  <c r="F19" i="13"/>
  <c r="F16" i="13"/>
  <c r="F13" i="13"/>
  <c r="F21" i="13"/>
  <c r="F11" i="13"/>
  <c r="F6" i="13"/>
  <c r="F12" i="13"/>
  <c r="F24" i="13"/>
  <c r="F5" i="13"/>
  <c r="F2" i="11"/>
  <c r="F3" i="11"/>
  <c r="C110" i="3"/>
  <c r="P12" i="9"/>
  <c r="N15" i="9" s="1"/>
  <c r="F90" i="3"/>
  <c r="B28" i="5"/>
  <c r="B29" i="5"/>
  <c r="B30" i="5"/>
  <c r="B18" i="6"/>
  <c r="B22" i="8"/>
  <c r="B11" i="4"/>
  <c r="D21" i="4" a="1"/>
  <c r="D21" i="4" s="1"/>
  <c r="E21" i="4" a="1"/>
  <c r="E21" i="4" s="1"/>
  <c r="B27" i="5"/>
  <c r="B26" i="5"/>
  <c r="Q19" i="8"/>
  <c r="F7" i="11"/>
  <c r="F15" i="11"/>
  <c r="F23" i="11"/>
  <c r="F8" i="11"/>
  <c r="F16" i="11"/>
  <c r="F24" i="11"/>
  <c r="F9" i="11"/>
  <c r="F17" i="11"/>
  <c r="F25" i="11"/>
  <c r="F10" i="11"/>
  <c r="F18" i="11"/>
  <c r="F11" i="11"/>
  <c r="F19" i="11"/>
  <c r="F4" i="11"/>
  <c r="F12" i="11"/>
  <c r="F20" i="11"/>
  <c r="F5" i="11"/>
  <c r="F13" i="11"/>
  <c r="F21" i="11"/>
  <c r="F6" i="11"/>
  <c r="F14" i="11"/>
  <c r="F22" i="11"/>
  <c r="F92" i="3"/>
  <c r="A100" i="3" s="1"/>
  <c r="F91" i="3"/>
  <c r="B23" i="5"/>
  <c r="C111" i="3" s="1"/>
  <c r="A22" i="3"/>
  <c r="A23" i="3"/>
  <c r="A20" i="3"/>
  <c r="A21" i="3"/>
  <c r="A19" i="3"/>
  <c r="A14" i="3"/>
  <c r="A17" i="3"/>
  <c r="A16" i="3"/>
  <c r="A13" i="3"/>
  <c r="A15" i="3"/>
  <c r="A12" i="3"/>
  <c r="D17" i="4" a="1"/>
  <c r="D17" i="4" s="1"/>
  <c r="C103" i="3"/>
  <c r="C43" i="3"/>
  <c r="D44" i="3" s="1"/>
  <c r="D18" i="4" a="1"/>
  <c r="D18" i="4" s="1"/>
  <c r="E19" i="4" a="1"/>
  <c r="E19" i="4" s="1"/>
  <c r="D19" i="4" a="1"/>
  <c r="D19" i="4" s="1"/>
  <c r="E17" i="4" a="1"/>
  <c r="E17" i="4" s="1"/>
  <c r="E18" i="4" a="1"/>
  <c r="E18" i="4" s="1"/>
  <c r="E20" i="4" a="1"/>
  <c r="E20" i="4" s="1"/>
  <c r="D20" i="4" a="1"/>
  <c r="D20" i="4" s="1"/>
  <c r="M3" i="5"/>
  <c r="E15" i="13"/>
  <c r="D21" i="13"/>
  <c r="E16" i="13"/>
  <c r="E23" i="13"/>
  <c r="D18" i="13"/>
  <c r="D20" i="13"/>
  <c r="E19" i="13"/>
  <c r="D19" i="13"/>
  <c r="E17" i="13"/>
  <c r="E22" i="13"/>
  <c r="D16" i="13"/>
  <c r="E20" i="13"/>
  <c r="E24" i="13"/>
  <c r="D15" i="13"/>
  <c r="E25" i="13"/>
  <c r="D14" i="13"/>
  <c r="D24" i="13"/>
  <c r="E18" i="13"/>
  <c r="E21" i="13"/>
  <c r="E14" i="13"/>
  <c r="D23" i="13"/>
  <c r="D17" i="13"/>
  <c r="D22" i="13"/>
  <c r="D25" i="13"/>
  <c r="D19" i="11"/>
  <c r="D20" i="11"/>
  <c r="D15" i="11"/>
  <c r="E15" i="11"/>
  <c r="E19" i="11"/>
  <c r="D25" i="11"/>
  <c r="E18" i="11"/>
  <c r="D24" i="11"/>
  <c r="B24" i="12"/>
  <c r="E23" i="11"/>
  <c r="D21" i="11"/>
  <c r="E20" i="11"/>
  <c r="E25" i="11"/>
  <c r="E24" i="11"/>
  <c r="B21" i="12"/>
  <c r="D17" i="11"/>
  <c r="D22" i="11"/>
  <c r="D14" i="11"/>
  <c r="D23" i="11"/>
  <c r="E22" i="11"/>
  <c r="D16" i="11"/>
  <c r="B23" i="12"/>
  <c r="E14" i="11"/>
  <c r="E17" i="11"/>
  <c r="D18" i="11"/>
  <c r="B20" i="12"/>
  <c r="B26" i="12"/>
  <c r="B22" i="12"/>
  <c r="E16" i="11"/>
  <c r="E21" i="11"/>
  <c r="B28" i="12"/>
  <c r="B27" i="12"/>
  <c r="B25" i="12"/>
  <c r="B29" i="12"/>
  <c r="N36" i="9" l="1"/>
  <c r="C112" i="3"/>
  <c r="E109" i="3" s="1"/>
  <c r="A92" i="3"/>
  <c r="A99" i="3"/>
  <c r="A95" i="3"/>
  <c r="A101" i="3"/>
  <c r="A97" i="3"/>
  <c r="A102" i="3"/>
  <c r="A93" i="3"/>
  <c r="A91" i="3"/>
  <c r="A96" i="3"/>
  <c r="A98" i="3"/>
  <c r="A94" i="3"/>
  <c r="D16" i="4" a="1"/>
  <c r="D16" i="4" s="1"/>
  <c r="E16" i="4" a="1"/>
  <c r="E16" i="4" s="1"/>
  <c r="D15" i="4" a="1"/>
  <c r="D15" i="4" s="1"/>
  <c r="E15" i="4" a="1"/>
  <c r="E15" i="4" s="1"/>
  <c r="E14" i="4" a="1"/>
  <c r="E14" i="4" s="1"/>
  <c r="D14" i="4" a="1"/>
  <c r="D14" i="4" s="1"/>
  <c r="D12" i="4" a="1"/>
  <c r="D12" i="4" s="1"/>
  <c r="E12" i="4" a="1"/>
  <c r="E12" i="4" s="1"/>
  <c r="D13" i="4" a="1"/>
  <c r="D13" i="4" s="1"/>
  <c r="E13" i="4" a="1"/>
  <c r="E13" i="4" s="1"/>
  <c r="K3" i="6"/>
  <c r="B30" i="12"/>
  <c r="D30" i="12" l="1"/>
  <c r="D24" i="12"/>
  <c r="D25" i="12"/>
  <c r="D26" i="12"/>
  <c r="D23" i="12"/>
  <c r="D29" i="12"/>
  <c r="D21" i="12"/>
  <c r="P57" i="9"/>
  <c r="N60" i="9" s="1"/>
  <c r="D27" i="12"/>
  <c r="D20" i="12"/>
  <c r="D28" i="12"/>
  <c r="D22" i="12"/>
  <c r="D19" i="12"/>
  <c r="D9" i="6"/>
  <c r="J15" i="6" s="1"/>
  <c r="C11" i="4" a="1"/>
  <c r="D11" i="4" a="1"/>
  <c r="D11" i="4" s="1"/>
  <c r="E11" i="4" a="1"/>
  <c r="E11" i="4" s="1"/>
  <c r="K3" i="4"/>
  <c r="C24" i="3"/>
  <c r="D24" i="3" s="1"/>
  <c r="F15" i="6" l="1"/>
  <c r="H15" i="6"/>
  <c r="H18" i="6" s="1"/>
  <c r="E18" i="6" s="1"/>
  <c r="D15" i="6"/>
  <c r="B15" i="6" a="1"/>
  <c r="B15" i="6" s="1"/>
  <c r="G21" i="4" a="1"/>
  <c r="G21" i="4" s="1"/>
  <c r="F21" i="4"/>
  <c r="H21" i="4" s="1"/>
  <c r="F20" i="4"/>
  <c r="H20" i="4" s="1"/>
  <c r="F18" i="4"/>
  <c r="H18" i="4" s="1"/>
  <c r="F19" i="4"/>
  <c r="H19" i="4" s="1"/>
  <c r="N4" i="4" a="1"/>
  <c r="N4" i="4" s="1"/>
  <c r="G18" i="4" a="1"/>
  <c r="G18" i="4" s="1"/>
  <c r="G19" i="4" a="1"/>
  <c r="G19" i="4" s="1"/>
  <c r="G20" i="4" a="1"/>
  <c r="G20" i="4" s="1"/>
  <c r="F14" i="4"/>
  <c r="H14" i="4" s="1"/>
  <c r="G17" i="4" a="1"/>
  <c r="G17" i="4" s="1"/>
  <c r="F17" i="4"/>
  <c r="H17" i="4" s="1"/>
  <c r="G16" i="4" a="1"/>
  <c r="G16" i="4" s="1"/>
  <c r="F16" i="4"/>
  <c r="H16" i="4" s="1"/>
  <c r="G14" i="4" a="1"/>
  <c r="G14" i="4" s="1"/>
  <c r="G15" i="4" a="1"/>
  <c r="G15" i="4" s="1"/>
  <c r="F15" i="4"/>
  <c r="H15" i="4" s="1"/>
  <c r="G13" i="4" a="1"/>
  <c r="G13" i="4" s="1"/>
  <c r="G12" i="4" a="1"/>
  <c r="G12" i="4" s="1"/>
  <c r="F12" i="4"/>
  <c r="H12" i="4" s="1"/>
  <c r="C11" i="4"/>
  <c r="G11" i="4" s="1" a="1"/>
  <c r="G11" i="4" s="1"/>
  <c r="F13" i="4"/>
  <c r="H13" i="4" s="1"/>
  <c r="F11" i="4" l="1"/>
  <c r="O4" i="4" s="1" a="1"/>
  <c r="O4" i="4" s="1"/>
  <c r="H11" i="4" l="1"/>
  <c r="H9" i="4" s="1"/>
  <c r="F9" i="4"/>
  <c r="Q20" i="8" l="1"/>
  <c r="Q21" i="8"/>
  <c r="Q18" i="8" l="1"/>
  <c r="P14" i="6" l="1"/>
  <c r="M23" i="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4"/>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41"/>
        </ext>
      </extLst>
    </bk>
    <bk>
      <extLst>
        <ext uri="{3e2802c4-a4d2-4d8b-9148-e3be6c30e623}">
          <xlrd:rvb i="44"/>
        </ext>
      </extLst>
    </bk>
  </futureMetadata>
  <cellMetadata count="1">
    <bk>
      <rc t="1" v="0"/>
    </bk>
  </cellMetadata>
  <valueMetadata count="12">
    <bk>
      <rc t="2" v="0"/>
    </bk>
    <bk>
      <rc t="2" v="1"/>
    </bk>
    <bk>
      <rc t="2" v="2"/>
    </bk>
    <bk>
      <rc t="2" v="3"/>
    </bk>
    <bk>
      <rc t="2" v="4"/>
    </bk>
    <bk>
      <rc t="2" v="5"/>
    </bk>
    <bk>
      <rc t="2" v="6"/>
    </bk>
    <bk>
      <rc t="2" v="7"/>
    </bk>
    <bk>
      <rc t="2" v="8"/>
    </bk>
    <bk>
      <rc t="2" v="9"/>
    </bk>
    <bk>
      <rc t="2" v="10"/>
    </bk>
    <bk>
      <rc t="2" v="11"/>
    </bk>
  </valueMetadata>
</metadata>
</file>

<file path=xl/sharedStrings.xml><?xml version="1.0" encoding="utf-8"?>
<sst xmlns="http://schemas.openxmlformats.org/spreadsheetml/2006/main" count="287" uniqueCount="148">
  <si>
    <r>
      <t xml:space="preserve">Fynancer - </t>
    </r>
    <r>
      <rPr>
        <b/>
        <i/>
        <sz val="16"/>
        <color theme="1"/>
        <rFont val="Calibri"/>
        <family val="2"/>
        <scheme val="minor"/>
      </rPr>
      <t>The Best Financer In Town</t>
    </r>
  </si>
  <si>
    <t>MY ASSETS</t>
  </si>
  <si>
    <t>Fynancer 2021</t>
  </si>
  <si>
    <t>SALARY</t>
  </si>
  <si>
    <t>VALUE</t>
  </si>
  <si>
    <t>SUBSIDY</t>
  </si>
  <si>
    <t>INVESTMENTS</t>
  </si>
  <si>
    <t>OTHERS</t>
  </si>
  <si>
    <t>Job</t>
  </si>
  <si>
    <t>HealthCare</t>
  </si>
  <si>
    <t>My Investment</t>
  </si>
  <si>
    <t>Won game</t>
  </si>
  <si>
    <t>2nd job</t>
  </si>
  <si>
    <t>SUBTOTAL</t>
  </si>
  <si>
    <t>ASSETS</t>
  </si>
  <si>
    <t>VALUES</t>
  </si>
  <si>
    <t>TOTAL ASSETS</t>
  </si>
  <si>
    <t>MY LIABILITIES</t>
  </si>
  <si>
    <t>EXPENSES</t>
  </si>
  <si>
    <t>LOANS</t>
  </si>
  <si>
    <t>HOUSEHOLD EXPENSES</t>
  </si>
  <si>
    <t>UTILITIES EXPENSES</t>
  </si>
  <si>
    <t>RENTAL EXPENSES</t>
  </si>
  <si>
    <t>MORTGAGE LOANS</t>
  </si>
  <si>
    <t>BANK LOANS</t>
  </si>
  <si>
    <t>Food</t>
  </si>
  <si>
    <t>Water</t>
  </si>
  <si>
    <t>January</t>
  </si>
  <si>
    <t>Housing</t>
  </si>
  <si>
    <t>Loan</t>
  </si>
  <si>
    <t>Groceries</t>
  </si>
  <si>
    <t>Electricity</t>
  </si>
  <si>
    <t>February</t>
  </si>
  <si>
    <t>March</t>
  </si>
  <si>
    <t>TOTAL LIABILITIES</t>
  </si>
  <si>
    <t>LIABILITIES</t>
  </si>
  <si>
    <t>HOUSEHOLD</t>
  </si>
  <si>
    <t>UTILITIES</t>
  </si>
  <si>
    <t>RENTAL</t>
  </si>
  <si>
    <t xml:space="preserve">MORTGAGE </t>
  </si>
  <si>
    <t>BANK LOAN</t>
  </si>
  <si>
    <t xml:space="preserve">  </t>
  </si>
  <si>
    <t xml:space="preserve">   MY INVESTMENTS</t>
  </si>
  <si>
    <t>Industry</t>
  </si>
  <si>
    <t>MarketValue</t>
  </si>
  <si>
    <t>Current Holdings</t>
  </si>
  <si>
    <t>Total Market Value:</t>
  </si>
  <si>
    <t>Total Gain/Loss:</t>
  </si>
  <si>
    <t>Stock</t>
  </si>
  <si>
    <t>Units</t>
  </si>
  <si>
    <t>Current Price</t>
  </si>
  <si>
    <t>Market Value</t>
  </si>
  <si>
    <t>Todays Change($)</t>
  </si>
  <si>
    <t>Gain/loss</t>
  </si>
  <si>
    <t xml:space="preserve"> </t>
  </si>
  <si>
    <t>Calculations</t>
  </si>
  <si>
    <t>Total Monthly Assets</t>
  </si>
  <si>
    <t>Months</t>
  </si>
  <si>
    <t>Total</t>
  </si>
  <si>
    <t>April</t>
  </si>
  <si>
    <t>May</t>
  </si>
  <si>
    <t>June</t>
  </si>
  <si>
    <t>July</t>
  </si>
  <si>
    <t>August</t>
  </si>
  <si>
    <t>September</t>
  </si>
  <si>
    <t>October</t>
  </si>
  <si>
    <t>November</t>
  </si>
  <si>
    <t>December</t>
  </si>
  <si>
    <t>Annual Total (Assets)</t>
  </si>
  <si>
    <t>Total Annual Assets</t>
  </si>
  <si>
    <t>Total Monthly Liabilities</t>
  </si>
  <si>
    <t>Total Annual Liabilities</t>
  </si>
  <si>
    <t>Annual Total (Liabilities)</t>
  </si>
  <si>
    <t>Total Monthly Expenses</t>
  </si>
  <si>
    <t>Annual Total (Expenses)</t>
  </si>
  <si>
    <t>Total Annual Expenses</t>
  </si>
  <si>
    <t>Total Monthly Loans</t>
  </si>
  <si>
    <t>Total Annual Loans</t>
  </si>
  <si>
    <t>Annual Total (Loans)</t>
  </si>
  <si>
    <t>Net Worth</t>
  </si>
  <si>
    <t>Minimum</t>
  </si>
  <si>
    <t>Maximum</t>
  </si>
  <si>
    <t>Average</t>
  </si>
  <si>
    <t>Annual Net Worth</t>
  </si>
  <si>
    <t>Cash Flow</t>
  </si>
  <si>
    <t>Cash Flow Amount</t>
  </si>
  <si>
    <t>Description</t>
  </si>
  <si>
    <t>Amount</t>
  </si>
  <si>
    <t>Total Net Income</t>
  </si>
  <si>
    <t>Total Liabilities</t>
  </si>
  <si>
    <t>MY CPF/SAVINGS</t>
  </si>
  <si>
    <t xml:space="preserve">Your Birthday: </t>
  </si>
  <si>
    <t>*INPUT DD/MM/YYYY</t>
  </si>
  <si>
    <t>Your Age:</t>
  </si>
  <si>
    <t>CPF BREAKDOWN TABLE</t>
  </si>
  <si>
    <t>SAVING GOAL SETTER</t>
  </si>
  <si>
    <t>CONTRIBUTION RATE</t>
  </si>
  <si>
    <t>PERCENTAGE</t>
  </si>
  <si>
    <t>AMOUNT</t>
  </si>
  <si>
    <t>ORDINARY ACC</t>
  </si>
  <si>
    <t>SPECIAL ACC</t>
  </si>
  <si>
    <t>MEDISAVE ACC</t>
  </si>
  <si>
    <t>EMPLOYEE</t>
  </si>
  <si>
    <t>EMPLOYER</t>
  </si>
  <si>
    <t>CURRENT SALARY</t>
  </si>
  <si>
    <t>SALARY AFTER CPF</t>
  </si>
  <si>
    <t>TOTAL CPF AMOUNT</t>
  </si>
  <si>
    <t>IN 2022, I HAVE SAVED :</t>
  </si>
  <si>
    <t>IN THE NEXT FEW MONTHS, YOU NEED TO SAVE:</t>
  </si>
  <si>
    <t>Savings</t>
  </si>
  <si>
    <t xml:space="preserve">Assuming you save all the remaining money you have </t>
  </si>
  <si>
    <t>Dates</t>
  </si>
  <si>
    <t>Values</t>
  </si>
  <si>
    <t>Ordinary Account</t>
  </si>
  <si>
    <t>-It has a current intrest rate of 2.5%</t>
  </si>
  <si>
    <t>Can be using for retirement,higher education and investment. Anything left will go into Retirement Account.</t>
  </si>
  <si>
    <t>Special Account</t>
  </si>
  <si>
    <t>-It has a current intrest rate of 4%</t>
  </si>
  <si>
    <t>Money is to be saved in Retirement Account. But, you can invest your SA savings after setting aside $40,000.</t>
  </si>
  <si>
    <t>Medisave Account</t>
  </si>
  <si>
    <t>To pay for hospitalisation, other approved medical expenses and for MediShield / Integrated Shield plans.</t>
  </si>
  <si>
    <t xml:space="preserve">Total savings </t>
  </si>
  <si>
    <t>Ledger</t>
  </si>
  <si>
    <t>Transaction</t>
  </si>
  <si>
    <t>Price</t>
  </si>
  <si>
    <t>Currency</t>
  </si>
  <si>
    <t>Transaction Amount</t>
  </si>
  <si>
    <t>Buy</t>
  </si>
  <si>
    <t>USD</t>
  </si>
  <si>
    <t>Sell</t>
  </si>
  <si>
    <t>buy</t>
  </si>
  <si>
    <t>usd</t>
  </si>
  <si>
    <t>Timeline</t>
  </si>
  <si>
    <t>Forecast</t>
  </si>
  <si>
    <t>Lower Confidence Bound</t>
  </si>
  <si>
    <t>Upper Confidence Bound</t>
  </si>
  <si>
    <t>Column1</t>
  </si>
  <si>
    <t>Average of Forecast</t>
  </si>
  <si>
    <t>predictions</t>
  </si>
  <si>
    <t>average of predictions</t>
  </si>
  <si>
    <t>Forecasts</t>
  </si>
  <si>
    <t>2023 ASSETS</t>
  </si>
  <si>
    <t>You make on average:</t>
  </si>
  <si>
    <t>Status:</t>
  </si>
  <si>
    <t>2023 LIABILITIES</t>
  </si>
  <si>
    <t>Your Average Liabilities:</t>
  </si>
  <si>
    <t>2023 SAVINGS</t>
  </si>
  <si>
    <t>You save on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</si>
</sst>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quot;$&quot;* #,##0.00_-;_-&quot;$&quot;* &quot;-&quot;??_-;_-@_-"/>
    <numFmt numFmtId="171" formatCode="_([$$-409]* #,##0.00_);_([$$-409]* \(#,##0.00\);_([$$-409]* &quot;-&quot;??_);_(@_)"/>
    <numFmt numFmtId="172" formatCode="&quot;$&quot;#,##0.00"/>
    <numFmt numFmtId="173" formatCode="_-[$$-409]* #,##0.00_ ;_-[$$-409]* \-#,##0.00\ ;_-[$$-409]* &quot;-&quot;??_ ;_-@_ "/>
    <numFmt numFmtId="174" formatCode="[$$-409]#,##0.00_ ;[Red]\-[$$-409]#,##0.00\ "/>
    <numFmt numFmtId="175" formatCode="&quot;$&quot;#,##0"/>
  </numFmts>
  <fonts count="42" x14ac:knownFonts="1">
    <font>
      <sz val="11"/>
      <color theme="1"/>
      <name val="Calibri"/>
      <family val="2"/>
      <scheme val="minor"/>
    </font>
    <font>
      <sz val="1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20"/>
      <color theme="1"/>
      <name val="Calibri"/>
      <family val="2"/>
      <scheme val="minor"/>
    </font>
    <font>
      <b/>
      <sz val="11"/>
      <color rgb="FF000000"/>
      <name val="Calibri"/>
      <family val="2"/>
      <scheme val="minor"/>
    </font>
    <font>
      <sz val="11"/>
      <color rgb="FFFFCC99"/>
      <name val="Calibri"/>
      <family val="2"/>
      <scheme val="minor"/>
    </font>
    <font>
      <sz val="16"/>
      <color theme="1"/>
      <name val="Calibri"/>
      <family val="2"/>
      <scheme val="minor"/>
    </font>
    <font>
      <sz val="8"/>
      <name val="Calibri"/>
      <family val="2"/>
      <scheme val="minor"/>
    </font>
    <font>
      <b/>
      <sz val="20"/>
      <color theme="1"/>
      <name val="Calibri"/>
      <family val="2"/>
      <scheme val="minor"/>
    </font>
    <font>
      <b/>
      <sz val="15"/>
      <color theme="1"/>
      <name val="Calibri"/>
      <family val="2"/>
      <scheme val="minor"/>
    </font>
    <font>
      <sz val="11"/>
      <color rgb="FFFAD3E9"/>
      <name val="Calibri"/>
      <family val="2"/>
      <scheme val="minor"/>
    </font>
    <font>
      <b/>
      <sz val="11"/>
      <color rgb="FF7030A0"/>
      <name val="Calibri"/>
      <family val="2"/>
      <scheme val="minor"/>
    </font>
    <font>
      <sz val="11"/>
      <color rgb="FF7030A0"/>
      <name val="Calibri"/>
      <family val="2"/>
      <scheme val="minor"/>
    </font>
    <font>
      <b/>
      <sz val="11"/>
      <color theme="0"/>
      <name val="Calibri"/>
      <family val="2"/>
      <scheme val="minor"/>
    </font>
    <font>
      <b/>
      <i/>
      <sz val="16"/>
      <color theme="1"/>
      <name val="Calibri"/>
      <family val="2"/>
      <scheme val="minor"/>
    </font>
    <font>
      <b/>
      <sz val="24"/>
      <color theme="1"/>
      <name val="Calibri"/>
      <family val="2"/>
      <scheme val="minor"/>
    </font>
    <font>
      <sz val="11"/>
      <color theme="7" tint="0.59999389629810485"/>
      <name val="Calibri"/>
      <family val="2"/>
      <scheme val="minor"/>
    </font>
    <font>
      <sz val="11"/>
      <color theme="0"/>
      <name val="Calibri"/>
      <family val="2"/>
      <scheme val="minor"/>
    </font>
    <font>
      <b/>
      <sz val="11"/>
      <color theme="9" tint="-0.249977111117893"/>
      <name val="Calibri"/>
      <family val="2"/>
      <scheme val="minor"/>
    </font>
    <font>
      <sz val="11"/>
      <color rgb="FF8AE6C1"/>
      <name val="Calibri"/>
      <family val="2"/>
      <scheme val="minor"/>
    </font>
    <font>
      <b/>
      <sz val="11"/>
      <color theme="4" tint="0.39997558519241921"/>
      <name val="Calibri"/>
      <family val="2"/>
      <scheme val="minor"/>
    </font>
    <font>
      <sz val="12"/>
      <color theme="1"/>
      <name val="Calibri"/>
      <family val="2"/>
      <scheme val="minor"/>
    </font>
    <font>
      <sz val="11"/>
      <color theme="6" tint="0.59999389629810485"/>
      <name val="Calibri"/>
      <family val="2"/>
      <scheme val="minor"/>
    </font>
    <font>
      <sz val="11"/>
      <color rgb="FFB8DCF1"/>
      <name val="Calibri"/>
      <family val="2"/>
      <scheme val="minor"/>
    </font>
    <font>
      <sz val="11"/>
      <color theme="6" tint="0.39997558519241921"/>
      <name val="Calibri"/>
      <family val="2"/>
      <scheme val="minor"/>
    </font>
    <font>
      <b/>
      <sz val="12"/>
      <color theme="1"/>
      <name val="Calibri"/>
      <family val="2"/>
      <scheme val="minor"/>
    </font>
    <font>
      <b/>
      <sz val="18"/>
      <color theme="1"/>
      <name val="Calibri"/>
      <family val="2"/>
      <scheme val="minor"/>
    </font>
    <font>
      <b/>
      <sz val="11"/>
      <color theme="6" tint="0.59999389629810485"/>
      <name val="Calibri"/>
      <family val="2"/>
      <scheme val="minor"/>
    </font>
    <font>
      <b/>
      <sz val="20"/>
      <color rgb="FF000000"/>
      <name val="Calibri"/>
      <family val="2"/>
      <scheme val="minor"/>
    </font>
    <font>
      <i/>
      <sz val="11"/>
      <color theme="1"/>
      <name val="Calibri"/>
      <family val="2"/>
      <scheme val="minor"/>
    </font>
    <font>
      <b/>
      <sz val="24"/>
      <color theme="6" tint="0.59999389629810485"/>
      <name val="Calibri"/>
      <family val="2"/>
      <scheme val="minor"/>
    </font>
    <font>
      <sz val="20"/>
      <name val="Calibri"/>
      <family val="2"/>
      <scheme val="minor"/>
    </font>
    <font>
      <i/>
      <sz val="11"/>
      <color rgb="FF000000"/>
      <name val="Calibri"/>
      <family val="2"/>
      <scheme val="minor"/>
    </font>
    <font>
      <b/>
      <i/>
      <sz val="11"/>
      <color theme="1"/>
      <name val="Calibri"/>
      <family val="2"/>
      <scheme val="minor"/>
    </font>
    <font>
      <sz val="11"/>
      <color rgb="FF444444"/>
      <name val="Calibri"/>
      <family val="2"/>
      <charset val="1"/>
    </font>
    <font>
      <b/>
      <sz val="12"/>
      <color theme="0"/>
      <name val="Calibri"/>
      <family val="2"/>
      <scheme val="minor"/>
    </font>
  </fonts>
  <fills count="35">
    <fill>
      <patternFill patternType="none"/>
    </fill>
    <fill>
      <patternFill patternType="gray125"/>
    </fill>
    <fill>
      <patternFill patternType="solid">
        <fgColor theme="4" tint="0.79998168889431442"/>
        <bgColor indexed="65"/>
      </patternFill>
    </fill>
    <fill>
      <patternFill patternType="solid">
        <fgColor rgb="FF8AE6C1"/>
        <bgColor indexed="64"/>
      </patternFill>
    </fill>
    <fill>
      <patternFill patternType="solid">
        <fgColor theme="1"/>
        <bgColor indexed="64"/>
      </patternFill>
    </fill>
    <fill>
      <patternFill patternType="solid">
        <fgColor rgb="FF8DE2F3"/>
        <bgColor indexed="64"/>
      </patternFill>
    </fill>
    <fill>
      <patternFill patternType="solid">
        <fgColor theme="6"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C99"/>
        <bgColor indexed="64"/>
      </patternFill>
    </fill>
    <fill>
      <patternFill patternType="solid">
        <fgColor rgb="FFFFE697"/>
        <bgColor indexed="64"/>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rgb="FFFAD3E9"/>
        <bgColor indexed="64"/>
      </patternFill>
    </fill>
    <fill>
      <patternFill patternType="solid">
        <fgColor rgb="FFC3A2E8"/>
        <bgColor indexed="64"/>
      </patternFill>
    </fill>
    <fill>
      <patternFill patternType="solid">
        <fgColor rgb="FFB083E1"/>
        <bgColor indexed="64"/>
      </patternFill>
    </fill>
    <fill>
      <patternFill patternType="solid">
        <fgColor rgb="FFDAC5F1"/>
        <bgColor indexed="64"/>
      </patternFill>
    </fill>
    <fill>
      <patternFill patternType="solid">
        <fgColor theme="6"/>
      </patternFill>
    </fill>
    <fill>
      <patternFill patternType="solid">
        <fgColor rgb="FFB8DCF1"/>
        <bgColor indexed="64"/>
      </patternFill>
    </fill>
    <fill>
      <patternFill patternType="solid">
        <fgColor rgb="FF9BC2E6"/>
        <bgColor indexed="64"/>
      </patternFill>
    </fill>
    <fill>
      <patternFill patternType="solid">
        <fgColor rgb="FF5B9BD5"/>
        <bgColor indexed="64"/>
      </patternFill>
    </fill>
    <fill>
      <patternFill patternType="solid">
        <fgColor theme="4" tint="0.39997558519241921"/>
        <bgColor indexed="64"/>
      </patternFill>
    </fill>
    <fill>
      <patternFill patternType="solid">
        <fgColor rgb="FFD6BFEF"/>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theme="6" tint="-0.249977111117893"/>
        <bgColor theme="4" tint="0.79998168889431442"/>
      </patternFill>
    </fill>
  </fills>
  <borders count="44">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Dashed">
        <color indexed="64"/>
      </right>
      <top/>
      <bottom/>
      <diagonal/>
    </border>
    <border>
      <left/>
      <right/>
      <top/>
      <bottom style="medium">
        <color indexed="64"/>
      </bottom>
      <diagonal/>
    </border>
    <border>
      <left/>
      <right style="mediumDashed">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theme="4" tint="0.39997558519241921"/>
      </left>
      <right/>
      <top style="thin">
        <color theme="4" tint="0.39997558519241921"/>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3" fillId="2" borderId="0" applyNumberFormat="0" applyBorder="0" applyAlignment="0" applyProtection="0"/>
    <xf numFmtId="44" fontId="3" fillId="0" borderId="0" applyFont="0" applyFill="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3" fillId="19" borderId="0" applyNumberFormat="0" applyBorder="0" applyAlignment="0" applyProtection="0"/>
  </cellStyleXfs>
  <cellXfs count="300">
    <xf numFmtId="0" fontId="0" fillId="0" borderId="0" xfId="0"/>
    <xf numFmtId="0" fontId="0" fillId="3" borderId="0" xfId="0" applyFill="1"/>
    <xf numFmtId="0" fontId="0" fillId="5" borderId="0" xfId="0" applyFill="1"/>
    <xf numFmtId="0" fontId="0" fillId="5" borderId="8" xfId="0" applyFill="1" applyBorder="1"/>
    <xf numFmtId="0" fontId="4" fillId="5" borderId="0" xfId="0" applyFont="1" applyFill="1"/>
    <xf numFmtId="0" fontId="0" fillId="5" borderId="9" xfId="0" applyFill="1" applyBorder="1"/>
    <xf numFmtId="0" fontId="0" fillId="5" borderId="10" xfId="0" applyFill="1" applyBorder="1"/>
    <xf numFmtId="0" fontId="0" fillId="6" borderId="0" xfId="0" applyFill="1"/>
    <xf numFmtId="0" fontId="0" fillId="6" borderId="8" xfId="0" applyFill="1" applyBorder="1"/>
    <xf numFmtId="0" fontId="4" fillId="6" borderId="0" xfId="0" applyFont="1" applyFill="1"/>
    <xf numFmtId="0" fontId="0" fillId="6" borderId="9" xfId="0" applyFill="1" applyBorder="1"/>
    <xf numFmtId="0" fontId="0" fillId="6" borderId="10" xfId="0" applyFill="1" applyBorder="1"/>
    <xf numFmtId="1" fontId="0" fillId="6" borderId="0" xfId="0" applyNumberFormat="1" applyFill="1"/>
    <xf numFmtId="0" fontId="7" fillId="7" borderId="0" xfId="0" applyFont="1" applyFill="1"/>
    <xf numFmtId="0" fontId="0" fillId="7" borderId="0" xfId="0" applyFill="1"/>
    <xf numFmtId="0" fontId="0" fillId="7" borderId="0" xfId="0" applyFill="1" applyAlignment="1">
      <alignment horizontal="right"/>
    </xf>
    <xf numFmtId="0" fontId="2" fillId="5" borderId="0" xfId="0" applyFont="1" applyFill="1"/>
    <xf numFmtId="171" fontId="2" fillId="5" borderId="0" xfId="0" applyNumberFormat="1" applyFont="1" applyFill="1"/>
    <xf numFmtId="173" fontId="2" fillId="5" borderId="0" xfId="0" applyNumberFormat="1" applyFont="1" applyFill="1"/>
    <xf numFmtId="174" fontId="2" fillId="5" borderId="0" xfId="0" applyNumberFormat="1" applyFont="1" applyFill="1"/>
    <xf numFmtId="0" fontId="10" fillId="5" borderId="1" xfId="0" applyFont="1" applyFill="1" applyBorder="1"/>
    <xf numFmtId="0" fontId="8" fillId="7" borderId="0" xfId="0" applyFont="1" applyFill="1"/>
    <xf numFmtId="173" fontId="0" fillId="7" borderId="0" xfId="0" applyNumberFormat="1" applyFill="1"/>
    <xf numFmtId="0" fontId="0" fillId="9" borderId="0" xfId="0" applyFill="1"/>
    <xf numFmtId="0" fontId="0" fillId="9" borderId="8" xfId="0" applyFill="1" applyBorder="1"/>
    <xf numFmtId="0" fontId="4" fillId="9" borderId="0" xfId="0" applyFont="1" applyFill="1"/>
    <xf numFmtId="0" fontId="0" fillId="9" borderId="9" xfId="0" applyFill="1" applyBorder="1"/>
    <xf numFmtId="0" fontId="0" fillId="9" borderId="10" xfId="0" applyFill="1" applyBorder="1"/>
    <xf numFmtId="0" fontId="11" fillId="9" borderId="0" xfId="0" applyFont="1" applyFill="1"/>
    <xf numFmtId="0" fontId="4" fillId="9" borderId="0" xfId="0" applyFont="1" applyFill="1" applyAlignment="1">
      <alignment horizontal="center"/>
    </xf>
    <xf numFmtId="175" fontId="12" fillId="9" borderId="0" xfId="2" applyNumberFormat="1" applyFont="1" applyFill="1" applyAlignment="1">
      <alignment horizontal="center"/>
    </xf>
    <xf numFmtId="0" fontId="0" fillId="3" borderId="8" xfId="0" applyFill="1" applyBorder="1"/>
    <xf numFmtId="0" fontId="4" fillId="3" borderId="0" xfId="0" applyFont="1" applyFill="1"/>
    <xf numFmtId="0" fontId="0" fillId="3" borderId="9" xfId="0" applyFill="1" applyBorder="1"/>
    <xf numFmtId="0" fontId="0" fillId="3" borderId="10" xfId="0" applyFill="1" applyBorder="1"/>
    <xf numFmtId="0" fontId="2" fillId="6" borderId="0" xfId="0" applyFont="1" applyFill="1"/>
    <xf numFmtId="0" fontId="6" fillId="3" borderId="0" xfId="0" applyFont="1" applyFill="1" applyAlignment="1">
      <alignment horizontal="left" vertical="center"/>
    </xf>
    <xf numFmtId="0" fontId="4" fillId="9" borderId="6" xfId="1" applyFont="1" applyFill="1" applyBorder="1" applyAlignment="1">
      <alignment horizontal="center"/>
    </xf>
    <xf numFmtId="175" fontId="4" fillId="9" borderId="7" xfId="1" applyNumberFormat="1" applyFont="1" applyFill="1" applyBorder="1" applyAlignment="1">
      <alignment horizontal="center"/>
    </xf>
    <xf numFmtId="0" fontId="3" fillId="2" borderId="0" xfId="1"/>
    <xf numFmtId="0" fontId="3" fillId="2" borderId="0" xfId="1" applyBorder="1" applyAlignment="1">
      <alignment horizontal="left" vertical="center"/>
    </xf>
    <xf numFmtId="0" fontId="3" fillId="2" borderId="0" xfId="1" applyBorder="1"/>
    <xf numFmtId="0" fontId="3" fillId="2" borderId="0" xfId="1" applyAlignment="1">
      <alignment horizontal="left" vertical="center"/>
    </xf>
    <xf numFmtId="0" fontId="3" fillId="10" borderId="4" xfId="1" applyFill="1" applyBorder="1" applyAlignment="1">
      <alignment horizontal="center"/>
    </xf>
    <xf numFmtId="175" fontId="3" fillId="10" borderId="5" xfId="1" applyNumberFormat="1" applyFill="1" applyBorder="1" applyAlignment="1">
      <alignment horizontal="center"/>
    </xf>
    <xf numFmtId="0" fontId="3" fillId="11" borderId="0" xfId="3"/>
    <xf numFmtId="14" fontId="3" fillId="11" borderId="0" xfId="3" applyNumberFormat="1"/>
    <xf numFmtId="172" fontId="3" fillId="11" borderId="0" xfId="3" applyNumberFormat="1" applyAlignment="1">
      <alignment horizontal="center"/>
    </xf>
    <xf numFmtId="0" fontId="3" fillId="13" borderId="0" xfId="5"/>
    <xf numFmtId="0" fontId="0" fillId="8" borderId="0" xfId="0" applyFill="1"/>
    <xf numFmtId="0" fontId="3" fillId="14" borderId="0" xfId="6"/>
    <xf numFmtId="172" fontId="3" fillId="14" borderId="0" xfId="6" applyNumberFormat="1"/>
    <xf numFmtId="0" fontId="3" fillId="12" borderId="0" xfId="4"/>
    <xf numFmtId="175" fontId="15" fillId="12" borderId="0" xfId="4" applyNumberFormat="1" applyFont="1" applyAlignment="1">
      <alignment vertical="center"/>
    </xf>
    <xf numFmtId="175" fontId="15" fillId="12" borderId="12" xfId="4" applyNumberFormat="1" applyFont="1" applyBorder="1" applyAlignment="1">
      <alignment horizontal="center" vertical="center"/>
    </xf>
    <xf numFmtId="175" fontId="15" fillId="12" borderId="0" xfId="4" applyNumberFormat="1" applyFont="1" applyBorder="1" applyAlignment="1">
      <alignment horizontal="center" vertical="center"/>
    </xf>
    <xf numFmtId="175" fontId="0" fillId="0" borderId="0" xfId="0" applyNumberFormat="1"/>
    <xf numFmtId="0" fontId="0" fillId="15" borderId="0" xfId="0" applyFill="1"/>
    <xf numFmtId="14" fontId="16" fillId="15" borderId="0" xfId="1" applyNumberFormat="1" applyFont="1" applyFill="1"/>
    <xf numFmtId="0" fontId="0" fillId="15" borderId="8" xfId="0" applyFill="1" applyBorder="1"/>
    <xf numFmtId="0" fontId="4" fillId="15" borderId="0" xfId="0" applyFont="1" applyFill="1"/>
    <xf numFmtId="0" fontId="0" fillId="15" borderId="9" xfId="0" applyFill="1" applyBorder="1"/>
    <xf numFmtId="0" fontId="0" fillId="15" borderId="10" xfId="0" applyFill="1" applyBorder="1"/>
    <xf numFmtId="0" fontId="6" fillId="15" borderId="0" xfId="0" applyFont="1" applyFill="1" applyAlignment="1">
      <alignment horizontal="left" vertical="center"/>
    </xf>
    <xf numFmtId="0" fontId="0" fillId="9" borderId="0" xfId="0" applyFill="1" applyAlignment="1">
      <alignment horizontal="right"/>
    </xf>
    <xf numFmtId="0" fontId="4" fillId="8" borderId="0" xfId="0" applyFont="1" applyFill="1"/>
    <xf numFmtId="0" fontId="0" fillId="8" borderId="11" xfId="0" applyFill="1" applyBorder="1"/>
    <xf numFmtId="40" fontId="0" fillId="8" borderId="11" xfId="0" applyNumberFormat="1" applyFill="1" applyBorder="1"/>
    <xf numFmtId="0" fontId="0" fillId="8" borderId="11" xfId="0" applyFill="1" applyBorder="1" applyAlignment="1">
      <alignment horizontal="right"/>
    </xf>
    <xf numFmtId="172" fontId="0" fillId="8" borderId="11" xfId="0" applyNumberFormat="1" applyFill="1" applyBorder="1"/>
    <xf numFmtId="172" fontId="0" fillId="8" borderId="0" xfId="0" applyNumberFormat="1" applyFill="1"/>
    <xf numFmtId="0" fontId="0" fillId="8" borderId="4" xfId="0" applyFill="1" applyBorder="1"/>
    <xf numFmtId="0" fontId="1" fillId="8" borderId="11" xfId="0" applyFont="1" applyFill="1" applyBorder="1"/>
    <xf numFmtId="0" fontId="1" fillId="8" borderId="11" xfId="0" applyFont="1" applyFill="1" applyBorder="1" applyAlignment="1">
      <alignment horizontal="left"/>
    </xf>
    <xf numFmtId="175" fontId="15" fillId="12" borderId="12" xfId="4" applyNumberFormat="1" applyFont="1" applyBorder="1" applyAlignment="1">
      <alignment vertical="center"/>
    </xf>
    <xf numFmtId="175" fontId="15" fillId="12" borderId="0" xfId="4" applyNumberFormat="1" applyFont="1" applyBorder="1" applyAlignment="1">
      <alignment vertical="center"/>
    </xf>
    <xf numFmtId="0" fontId="0" fillId="16" borderId="0" xfId="0" applyFill="1"/>
    <xf numFmtId="0" fontId="19" fillId="16" borderId="0" xfId="0" applyFont="1" applyFill="1" applyAlignment="1">
      <alignment vertical="center"/>
    </xf>
    <xf numFmtId="0" fontId="0" fillId="16" borderId="9" xfId="0" applyFill="1" applyBorder="1"/>
    <xf numFmtId="0" fontId="4" fillId="16" borderId="0" xfId="0" applyFont="1" applyFill="1" applyAlignment="1">
      <alignment horizontal="left" vertical="center"/>
    </xf>
    <xf numFmtId="0" fontId="0" fillId="16" borderId="0" xfId="0" applyFill="1" applyAlignment="1">
      <alignment horizontal="center"/>
    </xf>
    <xf numFmtId="0" fontId="15" fillId="16" borderId="0" xfId="0" applyFont="1" applyFill="1" applyAlignment="1">
      <alignment vertical="center"/>
    </xf>
    <xf numFmtId="0" fontId="19" fillId="16" borderId="9" xfId="0" applyFont="1" applyFill="1" applyBorder="1" applyAlignment="1">
      <alignment vertical="center"/>
    </xf>
    <xf numFmtId="0" fontId="0" fillId="16" borderId="8" xfId="0" applyFill="1" applyBorder="1"/>
    <xf numFmtId="0" fontId="0" fillId="16" borderId="10" xfId="0" applyFill="1" applyBorder="1"/>
    <xf numFmtId="14" fontId="4" fillId="16" borderId="0" xfId="0" applyNumberFormat="1" applyFont="1" applyFill="1"/>
    <xf numFmtId="14" fontId="4" fillId="5" borderId="0" xfId="0" applyNumberFormat="1" applyFont="1" applyFill="1"/>
    <xf numFmtId="14" fontId="4" fillId="6" borderId="0" xfId="0" applyNumberFormat="1" applyFont="1" applyFill="1"/>
    <xf numFmtId="14" fontId="4" fillId="3" borderId="0" xfId="0" applyNumberFormat="1" applyFont="1" applyFill="1"/>
    <xf numFmtId="14" fontId="4" fillId="15" borderId="0" xfId="0" applyNumberFormat="1" applyFont="1" applyFill="1"/>
    <xf numFmtId="0" fontId="0" fillId="10" borderId="11" xfId="1" applyFont="1" applyFill="1" applyBorder="1" applyAlignment="1">
      <alignment horizontal="center"/>
    </xf>
    <xf numFmtId="175" fontId="0" fillId="10" borderId="11" xfId="1" applyNumberFormat="1" applyFont="1" applyFill="1" applyBorder="1" applyAlignment="1">
      <alignment horizontal="center"/>
    </xf>
    <xf numFmtId="175" fontId="22" fillId="12" borderId="0" xfId="4" applyNumberFormat="1" applyFont="1"/>
    <xf numFmtId="0" fontId="0" fillId="10" borderId="4" xfId="1" applyFont="1" applyFill="1" applyBorder="1" applyAlignment="1" applyProtection="1">
      <alignment horizontal="center"/>
      <protection locked="0"/>
    </xf>
    <xf numFmtId="175" fontId="0" fillId="10" borderId="5" xfId="1" applyNumberFormat="1" applyFont="1" applyFill="1" applyBorder="1" applyAlignment="1" applyProtection="1">
      <alignment horizontal="center"/>
      <protection locked="0"/>
    </xf>
    <xf numFmtId="0" fontId="25" fillId="3" borderId="0" xfId="0" applyFont="1" applyFill="1"/>
    <xf numFmtId="14" fontId="0" fillId="0" borderId="0" xfId="0" applyNumberFormat="1"/>
    <xf numFmtId="0" fontId="0" fillId="15" borderId="0" xfId="0" applyFill="1" applyAlignment="1">
      <alignment horizontal="center"/>
    </xf>
    <xf numFmtId="0" fontId="0" fillId="15" borderId="0" xfId="0" applyFill="1" applyAlignment="1">
      <alignment vertical="center"/>
    </xf>
    <xf numFmtId="0" fontId="7" fillId="15" borderId="0" xfId="0" applyFont="1" applyFill="1"/>
    <xf numFmtId="0" fontId="1" fillId="15" borderId="0" xfId="0" applyFont="1" applyFill="1"/>
    <xf numFmtId="0" fontId="1" fillId="15" borderId="0" xfId="0" applyFont="1" applyFill="1" applyAlignment="1">
      <alignment horizontal="center"/>
    </xf>
    <xf numFmtId="0" fontId="9" fillId="15" borderId="0" xfId="0" applyFont="1" applyFill="1"/>
    <xf numFmtId="0" fontId="9" fillId="15" borderId="0" xfId="0" applyFont="1" applyFill="1" applyAlignment="1">
      <alignment horizontal="center"/>
    </xf>
    <xf numFmtId="0" fontId="4" fillId="15" borderId="0" xfId="0" applyFont="1" applyFill="1" applyAlignment="1">
      <alignment horizontal="center"/>
    </xf>
    <xf numFmtId="175" fontId="12" fillId="15" borderId="0" xfId="2" applyNumberFormat="1" applyFont="1" applyFill="1" applyAlignment="1">
      <alignment horizontal="center"/>
    </xf>
    <xf numFmtId="0" fontId="29" fillId="5" borderId="0" xfId="0" applyFont="1" applyFill="1"/>
    <xf numFmtId="0" fontId="30" fillId="5" borderId="0" xfId="0" applyFont="1" applyFill="1"/>
    <xf numFmtId="0" fontId="28" fillId="5" borderId="0" xfId="0" applyFont="1" applyFill="1" applyAlignment="1">
      <alignment horizontal="left" vertical="top"/>
    </xf>
    <xf numFmtId="0" fontId="1" fillId="8" borderId="15" xfId="0" applyFont="1" applyFill="1" applyBorder="1"/>
    <xf numFmtId="0" fontId="0" fillId="8" borderId="1" xfId="0" applyFill="1" applyBorder="1"/>
    <xf numFmtId="14" fontId="1" fillId="17" borderId="0" xfId="0" applyNumberFormat="1" applyFont="1" applyFill="1"/>
    <xf numFmtId="9" fontId="21" fillId="6" borderId="0" xfId="0" applyNumberFormat="1" applyFont="1" applyFill="1" applyAlignment="1">
      <alignment vertical="center"/>
    </xf>
    <xf numFmtId="0" fontId="21" fillId="6" borderId="0" xfId="0" applyFont="1" applyFill="1" applyAlignment="1">
      <alignment vertical="center"/>
    </xf>
    <xf numFmtId="0" fontId="0" fillId="6" borderId="0" xfId="0" applyFill="1" applyAlignment="1">
      <alignment vertical="center"/>
    </xf>
    <xf numFmtId="0" fontId="21" fillId="6" borderId="12" xfId="0" applyFont="1" applyFill="1" applyBorder="1" applyAlignment="1">
      <alignment vertical="center"/>
    </xf>
    <xf numFmtId="0" fontId="2" fillId="6" borderId="13" xfId="0" applyFont="1" applyFill="1" applyBorder="1"/>
    <xf numFmtId="0" fontId="0" fillId="6" borderId="12" xfId="0" applyFill="1" applyBorder="1"/>
    <xf numFmtId="0" fontId="0" fillId="6" borderId="13" xfId="0" applyFill="1" applyBorder="1"/>
    <xf numFmtId="0" fontId="0" fillId="5" borderId="0" xfId="0" applyFill="1" applyAlignment="1">
      <alignment horizontal="center" vertical="center"/>
    </xf>
    <xf numFmtId="0" fontId="16" fillId="30" borderId="0" xfId="0" applyFont="1" applyFill="1"/>
    <xf numFmtId="0" fontId="37" fillId="15" borderId="0" xfId="0" applyFont="1" applyFill="1" applyAlignment="1">
      <alignment horizontal="center"/>
    </xf>
    <xf numFmtId="0" fontId="3" fillId="31" borderId="0" xfId="6" applyFill="1"/>
    <xf numFmtId="0" fontId="15" fillId="31" borderId="0" xfId="6" applyFont="1" applyFill="1" applyAlignment="1"/>
    <xf numFmtId="172" fontId="15" fillId="31" borderId="0" xfId="6" applyNumberFormat="1" applyFont="1" applyFill="1" applyAlignment="1"/>
    <xf numFmtId="0" fontId="35" fillId="6" borderId="0" xfId="0" applyFont="1" applyFill="1" applyAlignment="1">
      <alignment wrapText="1"/>
    </xf>
    <xf numFmtId="175" fontId="40" fillId="0" borderId="0" xfId="0" quotePrefix="1" applyNumberFormat="1" applyFont="1"/>
    <xf numFmtId="14" fontId="0" fillId="32" borderId="26" xfId="0" applyNumberFormat="1" applyFill="1" applyBorder="1"/>
    <xf numFmtId="14" fontId="0" fillId="0" borderId="26" xfId="0" applyNumberFormat="1" applyBorder="1"/>
    <xf numFmtId="175" fontId="40" fillId="0" borderId="0" xfId="0" applyNumberFormat="1" applyFont="1"/>
    <xf numFmtId="0" fontId="4" fillId="10" borderId="2" xfId="1" applyFont="1" applyFill="1" applyBorder="1" applyAlignment="1">
      <alignment horizontal="center"/>
    </xf>
    <xf numFmtId="0" fontId="4" fillId="10" borderId="3" xfId="1" applyFont="1" applyFill="1" applyBorder="1" applyAlignment="1">
      <alignment horizontal="center"/>
    </xf>
    <xf numFmtId="0" fontId="8" fillId="16" borderId="0" xfId="0" applyFont="1" applyFill="1" applyAlignment="1">
      <alignment horizontal="left" vertical="center"/>
    </xf>
    <xf numFmtId="0" fontId="8" fillId="16" borderId="9" xfId="0" applyFont="1" applyFill="1" applyBorder="1" applyAlignment="1">
      <alignment horizontal="left" vertical="center"/>
    </xf>
    <xf numFmtId="0" fontId="6" fillId="9" borderId="0" xfId="0" applyFont="1" applyFill="1" applyAlignment="1">
      <alignment horizontal="left" vertical="center"/>
    </xf>
    <xf numFmtId="0" fontId="6" fillId="9" borderId="9" xfId="0" applyFont="1" applyFill="1" applyBorder="1" applyAlignment="1">
      <alignment horizontal="left" vertical="center"/>
    </xf>
    <xf numFmtId="14" fontId="4" fillId="9" borderId="0" xfId="0" applyNumberFormat="1" applyFont="1" applyFill="1" applyAlignment="1">
      <alignment horizontal="right"/>
    </xf>
    <xf numFmtId="0" fontId="6" fillId="15" borderId="0" xfId="0" applyFont="1" applyFill="1" applyAlignment="1">
      <alignment horizontal="left" vertical="center"/>
    </xf>
    <xf numFmtId="0" fontId="6" fillId="15" borderId="9" xfId="0" applyFont="1" applyFill="1" applyBorder="1" applyAlignment="1">
      <alignment horizontal="left" vertical="center"/>
    </xf>
    <xf numFmtId="0" fontId="4" fillId="23" borderId="0" xfId="0" applyFont="1" applyFill="1" applyAlignment="1">
      <alignment horizontal="center" vertical="center"/>
    </xf>
    <xf numFmtId="0" fontId="4" fillId="25" borderId="0" xfId="0" applyFont="1" applyFill="1" applyAlignment="1">
      <alignment horizontal="center" vertical="center"/>
    </xf>
    <xf numFmtId="0" fontId="6" fillId="5" borderId="0" xfId="0" applyFont="1" applyFill="1" applyAlignment="1">
      <alignment horizontal="left" vertical="center"/>
    </xf>
    <xf numFmtId="0" fontId="6" fillId="5" borderId="9" xfId="0" applyFont="1" applyFill="1" applyBorder="1" applyAlignment="1">
      <alignment horizontal="left" vertical="center"/>
    </xf>
    <xf numFmtId="0" fontId="6" fillId="5" borderId="0" xfId="0" applyFont="1" applyFill="1" applyAlignment="1">
      <alignment vertical="center"/>
    </xf>
    <xf numFmtId="172" fontId="15" fillId="31" borderId="0" xfId="6" applyNumberFormat="1" applyFont="1" applyFill="1" applyAlignment="1">
      <alignment horizontal="center"/>
    </xf>
    <xf numFmtId="0" fontId="14" fillId="14" borderId="0" xfId="6" applyFont="1" applyBorder="1" applyAlignment="1">
      <alignment horizontal="center" vertical="center"/>
    </xf>
    <xf numFmtId="0" fontId="14" fillId="12" borderId="0" xfId="4" applyFont="1" applyBorder="1" applyAlignment="1">
      <alignment horizontal="center" vertical="center"/>
    </xf>
    <xf numFmtId="0" fontId="19" fillId="4" borderId="11" xfId="1" applyFont="1" applyFill="1" applyBorder="1" applyAlignment="1">
      <alignment horizontal="center"/>
    </xf>
    <xf numFmtId="0" fontId="14" fillId="31" borderId="0" xfId="6" applyFont="1" applyFill="1" applyBorder="1" applyAlignment="1">
      <alignment horizontal="center" vertical="center"/>
    </xf>
    <xf numFmtId="0" fontId="19" fillId="4" borderId="0" xfId="1" applyFont="1" applyFill="1" applyBorder="1" applyAlignment="1">
      <alignment horizontal="center"/>
    </xf>
    <xf numFmtId="0" fontId="19" fillId="4" borderId="5" xfId="1" applyFont="1" applyFill="1" applyBorder="1" applyAlignment="1">
      <alignment horizontal="center"/>
    </xf>
    <xf numFmtId="0" fontId="19" fillId="4" borderId="4" xfId="1" applyFont="1" applyFill="1" applyBorder="1" applyAlignment="1">
      <alignment horizontal="center"/>
    </xf>
    <xf numFmtId="175" fontId="15" fillId="12" borderId="12" xfId="4" applyNumberFormat="1" applyFont="1" applyBorder="1" applyAlignment="1">
      <alignment horizontal="center" vertical="center"/>
    </xf>
    <xf numFmtId="175" fontId="15" fillId="12" borderId="0" xfId="4" applyNumberFormat="1" applyFont="1" applyBorder="1" applyAlignment="1">
      <alignment horizontal="center" vertical="center"/>
    </xf>
    <xf numFmtId="175" fontId="15" fillId="12" borderId="12" xfId="4" applyNumberFormat="1" applyFont="1" applyBorder="1" applyAlignment="1">
      <alignment horizontal="center"/>
    </xf>
    <xf numFmtId="175" fontId="15" fillId="12" borderId="0" xfId="4" applyNumberFormat="1" applyFont="1" applyBorder="1" applyAlignment="1">
      <alignment horizontal="center"/>
    </xf>
    <xf numFmtId="0" fontId="15" fillId="14" borderId="0" xfId="6" applyFont="1" applyAlignment="1">
      <alignment horizontal="center"/>
    </xf>
    <xf numFmtId="172" fontId="15" fillId="14" borderId="0" xfId="6" applyNumberFormat="1" applyFont="1" applyAlignment="1">
      <alignment horizontal="center"/>
    </xf>
    <xf numFmtId="172" fontId="15" fillId="13" borderId="0" xfId="5" applyNumberFormat="1" applyFont="1" applyAlignment="1">
      <alignment horizontal="center"/>
    </xf>
    <xf numFmtId="0" fontId="15" fillId="31" borderId="0" xfId="6" applyFont="1" applyFill="1" applyAlignment="1">
      <alignment horizontal="center"/>
    </xf>
    <xf numFmtId="175" fontId="6" fillId="3" borderId="0" xfId="0" applyNumberFormat="1" applyFont="1" applyFill="1" applyAlignment="1">
      <alignment horizontal="left" vertical="center"/>
    </xf>
    <xf numFmtId="0" fontId="6" fillId="3" borderId="0" xfId="0" applyFont="1" applyFill="1" applyAlignment="1">
      <alignment horizontal="left" vertical="center"/>
    </xf>
    <xf numFmtId="0" fontId="6" fillId="3" borderId="9" xfId="0" applyFont="1" applyFill="1" applyBorder="1" applyAlignment="1">
      <alignment horizontal="left" vertical="center"/>
    </xf>
    <xf numFmtId="175" fontId="15" fillId="2" borderId="0" xfId="1" applyNumberFormat="1" applyFont="1" applyAlignment="1">
      <alignment horizontal="center"/>
    </xf>
    <xf numFmtId="0" fontId="15" fillId="2" borderId="0" xfId="1" applyFont="1" applyAlignment="1">
      <alignment horizontal="center"/>
    </xf>
    <xf numFmtId="0" fontId="14" fillId="2" borderId="0" xfId="1" applyFont="1" applyBorder="1" applyAlignment="1">
      <alignment horizontal="center" vertical="center"/>
    </xf>
    <xf numFmtId="0" fontId="15" fillId="13" borderId="0" xfId="5" applyFont="1" applyAlignment="1">
      <alignment horizontal="center"/>
    </xf>
    <xf numFmtId="0" fontId="19" fillId="4" borderId="1" xfId="1" applyFont="1" applyFill="1" applyBorder="1" applyAlignment="1">
      <alignment horizontal="center"/>
    </xf>
    <xf numFmtId="0" fontId="14" fillId="11" borderId="0" xfId="3" applyFont="1" applyBorder="1" applyAlignment="1">
      <alignment horizontal="center" vertical="center"/>
    </xf>
    <xf numFmtId="0" fontId="14" fillId="13" borderId="0" xfId="5" applyFont="1" applyBorder="1" applyAlignment="1">
      <alignment horizontal="center" vertical="center"/>
    </xf>
    <xf numFmtId="0" fontId="15" fillId="11" borderId="0" xfId="3" applyFont="1" applyAlignment="1">
      <alignment horizontal="center"/>
    </xf>
    <xf numFmtId="172" fontId="15" fillId="11" borderId="0" xfId="3" applyNumberFormat="1" applyFont="1" applyAlignment="1">
      <alignment horizontal="center"/>
    </xf>
    <xf numFmtId="175" fontId="0" fillId="33" borderId="39" xfId="0" applyNumberFormat="1" applyFill="1" applyBorder="1" applyAlignment="1">
      <alignment horizontal="center"/>
    </xf>
    <xf numFmtId="175" fontId="0" fillId="33" borderId="40" xfId="0" applyNumberFormat="1" applyFill="1" applyBorder="1" applyAlignment="1">
      <alignment horizontal="center"/>
    </xf>
    <xf numFmtId="0" fontId="0" fillId="6" borderId="27" xfId="0" applyFill="1" applyBorder="1" applyAlignment="1">
      <alignment horizontal="center" vertical="center" wrapText="1"/>
    </xf>
    <xf numFmtId="0" fontId="0" fillId="6" borderId="28" xfId="0" applyFill="1" applyBorder="1" applyAlignment="1">
      <alignment horizontal="center" vertical="center" wrapText="1"/>
    </xf>
    <xf numFmtId="0" fontId="0" fillId="6" borderId="29" xfId="0" applyFill="1" applyBorder="1" applyAlignment="1">
      <alignment horizontal="center" vertical="center" wrapText="1"/>
    </xf>
    <xf numFmtId="0" fontId="0" fillId="6" borderId="30" xfId="0" applyFill="1" applyBorder="1" applyAlignment="1">
      <alignment horizontal="center" vertical="center" wrapText="1"/>
    </xf>
    <xf numFmtId="0" fontId="0" fillId="6" borderId="31" xfId="0" applyFill="1" applyBorder="1" applyAlignment="1">
      <alignment horizontal="center" vertical="center" wrapText="1"/>
    </xf>
    <xf numFmtId="0" fontId="0" fillId="6" borderId="32" xfId="0" applyFill="1" applyBorder="1" applyAlignment="1">
      <alignment horizontal="center" vertical="center" wrapText="1"/>
    </xf>
    <xf numFmtId="175" fontId="0" fillId="6" borderId="11" xfId="0" applyNumberFormat="1" applyFill="1" applyBorder="1" applyAlignment="1">
      <alignment horizontal="center"/>
    </xf>
    <xf numFmtId="175" fontId="0" fillId="6" borderId="37" xfId="0" applyNumberFormat="1" applyFill="1" applyBorder="1" applyAlignment="1">
      <alignment horizontal="center"/>
    </xf>
    <xf numFmtId="0" fontId="41" fillId="33" borderId="41" xfId="0" applyFont="1" applyFill="1" applyBorder="1" applyAlignment="1">
      <alignment horizontal="center"/>
    </xf>
    <xf numFmtId="0" fontId="41" fillId="33" borderId="42" xfId="0" applyFont="1" applyFill="1" applyBorder="1" applyAlignment="1">
      <alignment horizontal="center"/>
    </xf>
    <xf numFmtId="0" fontId="41" fillId="33" borderId="43" xfId="0" applyFont="1" applyFill="1" applyBorder="1" applyAlignment="1">
      <alignment horizontal="center"/>
    </xf>
    <xf numFmtId="0" fontId="5" fillId="29" borderId="33" xfId="0" applyFont="1" applyFill="1" applyBorder="1" applyAlignment="1">
      <alignment horizontal="center"/>
    </xf>
    <xf numFmtId="0" fontId="5" fillId="29" borderId="34" xfId="0" applyFont="1" applyFill="1" applyBorder="1" applyAlignment="1">
      <alignment horizontal="center"/>
    </xf>
    <xf numFmtId="0" fontId="5" fillId="29" borderId="35" xfId="0" applyFont="1" applyFill="1" applyBorder="1" applyAlignment="1">
      <alignment horizontal="center"/>
    </xf>
    <xf numFmtId="0" fontId="0" fillId="33" borderId="38" xfId="0" applyFill="1" applyBorder="1" applyAlignment="1">
      <alignment horizontal="center"/>
    </xf>
    <xf numFmtId="0" fontId="0" fillId="33" borderId="39" xfId="0" applyFill="1" applyBorder="1" applyAlignment="1">
      <alignment horizontal="center"/>
    </xf>
    <xf numFmtId="14" fontId="5" fillId="34" borderId="36" xfId="0" applyNumberFormat="1" applyFont="1" applyFill="1" applyBorder="1" applyAlignment="1">
      <alignment horizontal="center"/>
    </xf>
    <xf numFmtId="14" fontId="5" fillId="34" borderId="11" xfId="0" applyNumberFormat="1" applyFont="1" applyFill="1" applyBorder="1" applyAlignment="1">
      <alignment horizontal="center"/>
    </xf>
    <xf numFmtId="14" fontId="5" fillId="29" borderId="36" xfId="0" applyNumberFormat="1" applyFont="1" applyFill="1" applyBorder="1" applyAlignment="1">
      <alignment horizontal="center"/>
    </xf>
    <xf numFmtId="14" fontId="5" fillId="29" borderId="11" xfId="0" applyNumberFormat="1" applyFont="1" applyFill="1" applyBorder="1" applyAlignment="1">
      <alignment horizontal="center"/>
    </xf>
    <xf numFmtId="0" fontId="35" fillId="6" borderId="0" xfId="0" applyFont="1" applyFill="1" applyAlignment="1">
      <alignment horizontal="center" wrapText="1"/>
    </xf>
    <xf numFmtId="0" fontId="0" fillId="17" borderId="0" xfId="0" applyFill="1" applyAlignment="1">
      <alignment horizontal="center"/>
    </xf>
    <xf numFmtId="0" fontId="6" fillId="6" borderId="0" xfId="0" applyFont="1" applyFill="1" applyAlignment="1">
      <alignment horizontal="left" vertical="center"/>
    </xf>
    <xf numFmtId="0" fontId="6" fillId="6" borderId="9" xfId="0" applyFont="1" applyFill="1" applyBorder="1" applyAlignment="1">
      <alignment horizontal="left" vertical="center"/>
    </xf>
    <xf numFmtId="0" fontId="39" fillId="6" borderId="5" xfId="0" applyFont="1" applyFill="1" applyBorder="1" applyAlignment="1">
      <alignment horizontal="center"/>
    </xf>
    <xf numFmtId="0" fontId="39" fillId="6" borderId="16" xfId="0" applyFont="1" applyFill="1" applyBorder="1" applyAlignment="1">
      <alignment horizontal="center"/>
    </xf>
    <xf numFmtId="0" fontId="39" fillId="6" borderId="4" xfId="0" applyFont="1" applyFill="1" applyBorder="1" applyAlignment="1">
      <alignment horizontal="center"/>
    </xf>
    <xf numFmtId="0" fontId="33" fillId="29" borderId="7" xfId="0" applyFont="1" applyFill="1" applyBorder="1" applyAlignment="1">
      <alignment horizontal="center" vertical="center"/>
    </xf>
    <xf numFmtId="0" fontId="28" fillId="29" borderId="14" xfId="0" applyFont="1" applyFill="1" applyBorder="1" applyAlignment="1">
      <alignment horizontal="center" vertical="center"/>
    </xf>
    <xf numFmtId="0" fontId="28" fillId="29" borderId="6" xfId="0" applyFont="1" applyFill="1" applyBorder="1" applyAlignment="1">
      <alignment horizontal="center" vertical="center"/>
    </xf>
    <xf numFmtId="0" fontId="28" fillId="29" borderId="12" xfId="0" applyFont="1" applyFill="1" applyBorder="1" applyAlignment="1">
      <alignment horizontal="center" vertical="center"/>
    </xf>
    <xf numFmtId="0" fontId="28" fillId="29" borderId="0" xfId="0" applyFont="1" applyFill="1" applyAlignment="1">
      <alignment horizontal="center" vertical="center"/>
    </xf>
    <xf numFmtId="0" fontId="28" fillId="29" borderId="13" xfId="0" applyFont="1" applyFill="1" applyBorder="1" applyAlignment="1">
      <alignment horizontal="center" vertical="center"/>
    </xf>
    <xf numFmtId="0" fontId="4" fillId="8" borderId="11" xfId="0" applyFont="1" applyFill="1" applyBorder="1" applyAlignment="1">
      <alignment horizontal="center"/>
    </xf>
    <xf numFmtId="0" fontId="0" fillId="6" borderId="11" xfId="0" applyFill="1" applyBorder="1" applyAlignment="1">
      <alignment horizontal="center"/>
    </xf>
    <xf numFmtId="0" fontId="35" fillId="6" borderId="0" xfId="0" applyFont="1" applyFill="1" applyAlignment="1">
      <alignment horizontal="center" vertical="top" wrapText="1"/>
    </xf>
    <xf numFmtId="0" fontId="35" fillId="6" borderId="0" xfId="0" applyFont="1" applyFill="1" applyAlignment="1">
      <alignment horizontal="center"/>
    </xf>
    <xf numFmtId="0" fontId="31" fillId="6" borderId="0" xfId="0" applyFont="1" applyFill="1" applyAlignment="1">
      <alignment horizontal="center"/>
    </xf>
    <xf numFmtId="0" fontId="19" fillId="19" borderId="11" xfId="7" applyFont="1" applyBorder="1" applyAlignment="1">
      <alignment horizontal="center"/>
    </xf>
    <xf numFmtId="0" fontId="19" fillId="21" borderId="11" xfId="7" applyFont="1" applyFill="1" applyBorder="1" applyAlignment="1">
      <alignment horizontal="center"/>
    </xf>
    <xf numFmtId="0" fontId="1" fillId="20" borderId="11" xfId="7" applyFont="1" applyFill="1" applyBorder="1" applyAlignment="1">
      <alignment horizontal="center" vertical="center"/>
    </xf>
    <xf numFmtId="0" fontId="35" fillId="6" borderId="5" xfId="0" applyFont="1" applyFill="1" applyBorder="1" applyAlignment="1">
      <alignment horizontal="center"/>
    </xf>
    <xf numFmtId="0" fontId="35" fillId="6" borderId="16" xfId="0" applyFont="1" applyFill="1" applyBorder="1" applyAlignment="1">
      <alignment horizontal="center"/>
    </xf>
    <xf numFmtId="0" fontId="35" fillId="6" borderId="4" xfId="0" applyFont="1" applyFill="1" applyBorder="1" applyAlignment="1">
      <alignment horizontal="center"/>
    </xf>
    <xf numFmtId="0" fontId="35" fillId="6" borderId="12" xfId="0" applyFont="1" applyFill="1" applyBorder="1" applyAlignment="1">
      <alignment horizontal="center"/>
    </xf>
    <xf numFmtId="0" fontId="35" fillId="6" borderId="13" xfId="0" applyFont="1" applyFill="1" applyBorder="1" applyAlignment="1">
      <alignment horizontal="center"/>
    </xf>
    <xf numFmtId="0" fontId="4" fillId="26" borderId="11" xfId="0" applyFont="1" applyFill="1" applyBorder="1" applyAlignment="1">
      <alignment horizontal="center"/>
    </xf>
    <xf numFmtId="0" fontId="4" fillId="28" borderId="14" xfId="0" applyFont="1" applyFill="1" applyBorder="1" applyAlignment="1">
      <alignment horizontal="center" vertical="center"/>
    </xf>
    <xf numFmtId="0" fontId="4" fillId="28" borderId="6" xfId="0" applyFont="1" applyFill="1" applyBorder="1" applyAlignment="1">
      <alignment horizontal="center" vertical="center"/>
    </xf>
    <xf numFmtId="0" fontId="4" fillId="28" borderId="0" xfId="0" applyFont="1" applyFill="1" applyAlignment="1">
      <alignment horizontal="center" vertical="center"/>
    </xf>
    <xf numFmtId="0" fontId="4" fillId="28" borderId="13" xfId="0" applyFont="1" applyFill="1" applyBorder="1" applyAlignment="1">
      <alignment horizontal="center" vertical="center"/>
    </xf>
    <xf numFmtId="0" fontId="4" fillId="28" borderId="11" xfId="0" applyFont="1" applyFill="1" applyBorder="1" applyAlignment="1">
      <alignment horizontal="center" vertical="center"/>
    </xf>
    <xf numFmtId="0" fontId="0" fillId="28" borderId="11" xfId="0" applyFill="1" applyBorder="1" applyAlignment="1">
      <alignment horizontal="center" vertical="center"/>
    </xf>
    <xf numFmtId="0" fontId="19" fillId="22" borderId="11" xfId="7" applyFont="1" applyFill="1" applyBorder="1" applyAlignment="1">
      <alignment horizontal="center"/>
    </xf>
    <xf numFmtId="175" fontId="34" fillId="6" borderId="11" xfId="0" applyNumberFormat="1" applyFont="1" applyFill="1" applyBorder="1" applyAlignment="1">
      <alignment horizontal="center" vertical="center"/>
    </xf>
    <xf numFmtId="0" fontId="35" fillId="6" borderId="17" xfId="0" applyFont="1" applyFill="1" applyBorder="1" applyAlignment="1">
      <alignment horizontal="center"/>
    </xf>
    <xf numFmtId="0" fontId="35" fillId="6" borderId="18" xfId="0" applyFont="1" applyFill="1" applyBorder="1" applyAlignment="1">
      <alignment horizontal="center"/>
    </xf>
    <xf numFmtId="0" fontId="35" fillId="6" borderId="19" xfId="0" applyFont="1" applyFill="1" applyBorder="1" applyAlignment="1">
      <alignment horizontal="center"/>
    </xf>
    <xf numFmtId="0" fontId="38" fillId="20" borderId="17" xfId="0" applyFont="1" applyFill="1" applyBorder="1" applyAlignment="1">
      <alignment horizontal="center" wrapText="1"/>
    </xf>
    <xf numFmtId="0" fontId="38" fillId="20" borderId="18" xfId="0" applyFont="1" applyFill="1" applyBorder="1" applyAlignment="1">
      <alignment horizontal="center" wrapText="1"/>
    </xf>
    <xf numFmtId="0" fontId="38" fillId="20" borderId="19" xfId="0" applyFont="1" applyFill="1" applyBorder="1" applyAlignment="1">
      <alignment horizontal="center" wrapText="1"/>
    </xf>
    <xf numFmtId="0" fontId="38" fillId="20" borderId="20" xfId="0" applyFont="1" applyFill="1" applyBorder="1" applyAlignment="1">
      <alignment horizontal="center" wrapText="1"/>
    </xf>
    <xf numFmtId="0" fontId="38" fillId="20" borderId="21" xfId="0" applyFont="1" applyFill="1" applyBorder="1" applyAlignment="1">
      <alignment horizontal="center" wrapText="1"/>
    </xf>
    <xf numFmtId="0" fontId="38" fillId="20" borderId="22" xfId="0" applyFont="1" applyFill="1" applyBorder="1" applyAlignment="1">
      <alignment horizontal="center" wrapText="1"/>
    </xf>
    <xf numFmtId="0" fontId="31" fillId="21" borderId="23" xfId="0" applyFont="1" applyFill="1" applyBorder="1" applyAlignment="1">
      <alignment horizontal="center"/>
    </xf>
    <xf numFmtId="0" fontId="31" fillId="21" borderId="24" xfId="0" applyFont="1" applyFill="1" applyBorder="1" applyAlignment="1">
      <alignment horizontal="center"/>
    </xf>
    <xf numFmtId="0" fontId="31" fillId="21" borderId="25" xfId="0" applyFont="1" applyFill="1" applyBorder="1" applyAlignment="1">
      <alignment horizontal="center"/>
    </xf>
    <xf numFmtId="0" fontId="33" fillId="29" borderId="11" xfId="0" applyFont="1" applyFill="1" applyBorder="1" applyAlignment="1">
      <alignment horizontal="center" vertical="center"/>
    </xf>
    <xf numFmtId="0" fontId="28" fillId="29" borderId="11" xfId="0" applyFont="1" applyFill="1" applyBorder="1" applyAlignment="1">
      <alignment horizontal="center" vertical="center"/>
    </xf>
    <xf numFmtId="9" fontId="21" fillId="9" borderId="11" xfId="0" applyNumberFormat="1" applyFont="1" applyFill="1" applyBorder="1" applyAlignment="1">
      <alignment horizontal="center" vertical="center"/>
    </xf>
    <xf numFmtId="175" fontId="36" fillId="29" borderId="7" xfId="0" applyNumberFormat="1" applyFont="1" applyFill="1" applyBorder="1" applyAlignment="1">
      <alignment horizontal="center" vertical="center"/>
    </xf>
    <xf numFmtId="175" fontId="36" fillId="29" borderId="14" xfId="0" applyNumberFormat="1" applyFont="1" applyFill="1" applyBorder="1" applyAlignment="1">
      <alignment horizontal="center" vertical="center"/>
    </xf>
    <xf numFmtId="175" fontId="36" fillId="29" borderId="6" xfId="0" applyNumberFormat="1" applyFont="1" applyFill="1" applyBorder="1" applyAlignment="1">
      <alignment horizontal="center" vertical="center"/>
    </xf>
    <xf numFmtId="175" fontId="36" fillId="29" borderId="12" xfId="0" applyNumberFormat="1" applyFont="1" applyFill="1" applyBorder="1" applyAlignment="1">
      <alignment horizontal="center" vertical="center"/>
    </xf>
    <xf numFmtId="175" fontId="36" fillId="29" borderId="0" xfId="0" applyNumberFormat="1" applyFont="1" applyFill="1" applyAlignment="1">
      <alignment horizontal="center" vertical="center"/>
    </xf>
    <xf numFmtId="175" fontId="36" fillId="29" borderId="13" xfId="0" applyNumberFormat="1" applyFont="1" applyFill="1" applyBorder="1" applyAlignment="1">
      <alignment horizontal="center" vertical="center"/>
    </xf>
    <xf numFmtId="175" fontId="36" fillId="29" borderId="3" xfId="0" applyNumberFormat="1" applyFont="1" applyFill="1" applyBorder="1" applyAlignment="1">
      <alignment horizontal="center" vertical="center"/>
    </xf>
    <xf numFmtId="175" fontId="36" fillId="29" borderId="1" xfId="0" applyNumberFormat="1" applyFont="1" applyFill="1" applyBorder="1" applyAlignment="1">
      <alignment horizontal="center" vertical="center"/>
    </xf>
    <xf numFmtId="175" fontId="36" fillId="29" borderId="2" xfId="0" applyNumberFormat="1" applyFont="1" applyFill="1" applyBorder="1" applyAlignment="1">
      <alignment horizontal="center" vertical="center"/>
    </xf>
    <xf numFmtId="0" fontId="35" fillId="6" borderId="17" xfId="0" applyFont="1" applyFill="1" applyBorder="1" applyAlignment="1">
      <alignment horizontal="center" wrapText="1"/>
    </xf>
    <xf numFmtId="0" fontId="35" fillId="6" borderId="18" xfId="0" applyFont="1" applyFill="1" applyBorder="1" applyAlignment="1">
      <alignment horizontal="center" wrapText="1"/>
    </xf>
    <xf numFmtId="0" fontId="35" fillId="6" borderId="19" xfId="0" applyFont="1" applyFill="1" applyBorder="1" applyAlignment="1">
      <alignment horizontal="center" wrapText="1"/>
    </xf>
    <xf numFmtId="0" fontId="35" fillId="6" borderId="20" xfId="0" applyFont="1" applyFill="1" applyBorder="1" applyAlignment="1">
      <alignment horizontal="center" wrapText="1"/>
    </xf>
    <xf numFmtId="0" fontId="35" fillId="6" borderId="21" xfId="0" applyFont="1" applyFill="1" applyBorder="1" applyAlignment="1">
      <alignment horizontal="center" wrapText="1"/>
    </xf>
    <xf numFmtId="0" fontId="35" fillId="6" borderId="22" xfId="0" applyFont="1" applyFill="1" applyBorder="1" applyAlignment="1">
      <alignment horizontal="center" wrapText="1"/>
    </xf>
    <xf numFmtId="0" fontId="27" fillId="20" borderId="0" xfId="0" applyFont="1" applyFill="1" applyAlignment="1">
      <alignment horizontal="center"/>
    </xf>
    <xf numFmtId="0" fontId="35" fillId="20" borderId="17" xfId="0" applyFont="1" applyFill="1" applyBorder="1" applyAlignment="1">
      <alignment horizontal="center" vertical="top" wrapText="1"/>
    </xf>
    <xf numFmtId="0" fontId="35" fillId="20" borderId="18" xfId="0" applyFont="1" applyFill="1" applyBorder="1" applyAlignment="1">
      <alignment horizontal="center" vertical="top" wrapText="1"/>
    </xf>
    <xf numFmtId="0" fontId="35" fillId="20" borderId="19" xfId="0" applyFont="1" applyFill="1" applyBorder="1" applyAlignment="1">
      <alignment horizontal="center" vertical="top" wrapText="1"/>
    </xf>
    <xf numFmtId="0" fontId="35" fillId="20" borderId="20" xfId="0" applyFont="1" applyFill="1" applyBorder="1" applyAlignment="1">
      <alignment horizontal="center" vertical="top" wrapText="1"/>
    </xf>
    <xf numFmtId="0" fontId="35" fillId="20" borderId="21" xfId="0" applyFont="1" applyFill="1" applyBorder="1" applyAlignment="1">
      <alignment horizontal="center" vertical="top" wrapText="1"/>
    </xf>
    <xf numFmtId="0" fontId="35" fillId="20" borderId="22" xfId="0" applyFont="1" applyFill="1" applyBorder="1" applyAlignment="1">
      <alignment horizontal="center" vertical="top" wrapText="1"/>
    </xf>
    <xf numFmtId="0" fontId="35" fillId="6" borderId="23" xfId="0" applyFont="1" applyFill="1" applyBorder="1" applyAlignment="1">
      <alignment horizontal="center"/>
    </xf>
    <xf numFmtId="0" fontId="35" fillId="6" borderId="24" xfId="0" applyFont="1" applyFill="1" applyBorder="1" applyAlignment="1">
      <alignment horizontal="center"/>
    </xf>
    <xf numFmtId="0" fontId="35" fillId="6" borderId="25" xfId="0" applyFont="1" applyFill="1" applyBorder="1" applyAlignment="1">
      <alignment horizontal="center"/>
    </xf>
    <xf numFmtId="0" fontId="6" fillId="8" borderId="0" xfId="0" applyFont="1" applyFill="1" applyAlignment="1">
      <alignment horizontal="left" vertical="center"/>
    </xf>
    <xf numFmtId="0" fontId="31" fillId="23" borderId="12" xfId="0" applyFont="1" applyFill="1" applyBorder="1" applyAlignment="1">
      <alignment horizontal="center"/>
    </xf>
    <xf numFmtId="0" fontId="31" fillId="23" borderId="0" xfId="0" applyFont="1" applyFill="1" applyAlignment="1">
      <alignment horizontal="center"/>
    </xf>
    <xf numFmtId="0" fontId="31" fillId="26" borderId="0" xfId="0" applyFont="1" applyFill="1" applyAlignment="1">
      <alignment horizontal="center"/>
    </xf>
    <xf numFmtId="0" fontId="31" fillId="26" borderId="13" xfId="0" applyFont="1" applyFill="1" applyBorder="1" applyAlignment="1">
      <alignment horizontal="center"/>
    </xf>
    <xf numFmtId="0" fontId="17" fillId="15" borderId="0" xfId="0" applyFont="1" applyFill="1" applyAlignment="1">
      <alignment horizontal="center" vertical="center"/>
    </xf>
    <xf numFmtId="0" fontId="18" fillId="15" borderId="0" xfId="0" applyFont="1" applyFill="1" applyAlignment="1">
      <alignment horizontal="center" vertical="center"/>
    </xf>
    <xf numFmtId="0" fontId="24" fillId="15" borderId="0" xfId="0" applyFont="1" applyFill="1" applyAlignment="1">
      <alignment horizontal="center" vertical="center"/>
    </xf>
    <xf numFmtId="0" fontId="26" fillId="15" borderId="0" xfId="0" applyFont="1" applyFill="1" applyAlignment="1">
      <alignment horizontal="center" vertical="center"/>
    </xf>
    <xf numFmtId="0" fontId="0" fillId="24" borderId="7" xfId="0" applyFill="1" applyBorder="1" applyAlignment="1">
      <alignment horizontal="center" vertical="center"/>
    </xf>
    <xf numFmtId="0" fontId="0" fillId="24" borderId="14" xfId="0" applyFill="1" applyBorder="1" applyAlignment="1">
      <alignment horizontal="center" vertical="center"/>
    </xf>
    <xf numFmtId="0" fontId="0" fillId="24" borderId="6" xfId="0" applyFill="1" applyBorder="1" applyAlignment="1">
      <alignment horizontal="center" vertical="center"/>
    </xf>
    <xf numFmtId="0" fontId="0" fillId="24" borderId="3" xfId="0" applyFill="1" applyBorder="1" applyAlignment="1">
      <alignment horizontal="center" vertical="center"/>
    </xf>
    <xf numFmtId="0" fontId="0" fillId="24" borderId="1" xfId="0" applyFill="1" applyBorder="1" applyAlignment="1">
      <alignment horizontal="center" vertical="center"/>
    </xf>
    <xf numFmtId="0" fontId="0" fillId="24" borderId="2" xfId="0" applyFill="1" applyBorder="1" applyAlignment="1">
      <alignment horizontal="center" vertical="center"/>
    </xf>
    <xf numFmtId="172" fontId="27" fillId="26" borderId="0" xfId="0" applyNumberFormat="1" applyFont="1" applyFill="1" applyAlignment="1">
      <alignment horizontal="center"/>
    </xf>
    <xf numFmtId="172" fontId="27" fillId="26" borderId="13" xfId="0" applyNumberFormat="1" applyFont="1" applyFill="1" applyBorder="1" applyAlignment="1">
      <alignment horizontal="center"/>
    </xf>
    <xf numFmtId="172" fontId="27" fillId="23" borderId="12" xfId="0" applyNumberFormat="1" applyFont="1" applyFill="1" applyBorder="1" applyAlignment="1">
      <alignment horizontal="center"/>
    </xf>
    <xf numFmtId="172" fontId="27" fillId="23" borderId="0" xfId="0" applyNumberFormat="1" applyFont="1" applyFill="1" applyAlignment="1">
      <alignment horizontal="center"/>
    </xf>
    <xf numFmtId="0" fontId="0" fillId="18" borderId="7" xfId="0" applyFill="1" applyBorder="1" applyAlignment="1">
      <alignment horizontal="center" vertical="center"/>
    </xf>
    <xf numFmtId="0" fontId="0" fillId="18" borderId="14" xfId="0" applyFill="1" applyBorder="1" applyAlignment="1">
      <alignment horizontal="center" vertical="center"/>
    </xf>
    <xf numFmtId="0" fontId="0" fillId="18" borderId="6" xfId="0" applyFill="1" applyBorder="1" applyAlignment="1">
      <alignment horizontal="center" vertical="center"/>
    </xf>
    <xf numFmtId="0" fontId="0" fillId="18" borderId="3" xfId="0" applyFill="1" applyBorder="1" applyAlignment="1">
      <alignment horizontal="center" vertical="center"/>
    </xf>
    <xf numFmtId="0" fontId="0" fillId="18" borderId="1" xfId="0" applyFill="1" applyBorder="1" applyAlignment="1">
      <alignment horizontal="center" vertical="center"/>
    </xf>
    <xf numFmtId="0" fontId="0" fillId="18" borderId="2" xfId="0" applyFill="1" applyBorder="1" applyAlignment="1">
      <alignment horizontal="center" vertical="center"/>
    </xf>
    <xf numFmtId="0" fontId="32" fillId="27" borderId="12" xfId="0" applyFont="1" applyFill="1" applyBorder="1" applyAlignment="1">
      <alignment horizontal="center" vertical="center"/>
    </xf>
    <xf numFmtId="0" fontId="32" fillId="27" borderId="0" xfId="0" applyFont="1" applyFill="1" applyAlignment="1">
      <alignment horizontal="center" vertical="center"/>
    </xf>
    <xf numFmtId="0" fontId="32" fillId="27" borderId="13" xfId="0" applyFont="1" applyFill="1" applyBorder="1" applyAlignment="1">
      <alignment horizontal="center" vertical="center"/>
    </xf>
    <xf numFmtId="0" fontId="32" fillId="27" borderId="3" xfId="0" applyFont="1" applyFill="1" applyBorder="1" applyAlignment="1">
      <alignment horizontal="center" vertical="center"/>
    </xf>
    <xf numFmtId="0" fontId="32" fillId="27" borderId="1" xfId="0" applyFont="1" applyFill="1" applyBorder="1" applyAlignment="1">
      <alignment horizontal="center" vertical="center"/>
    </xf>
    <xf numFmtId="0" fontId="32" fillId="27" borderId="2" xfId="0" applyFont="1" applyFill="1" applyBorder="1" applyAlignment="1">
      <alignment horizontal="center" vertical="center"/>
    </xf>
  </cellXfs>
  <cellStyles count="8">
    <cellStyle name="20% - Accent1" xfId="1" builtinId="30"/>
    <cellStyle name="20% - Accent6" xfId="6" builtinId="50"/>
    <cellStyle name="40% - Accent3" xfId="3" builtinId="39"/>
    <cellStyle name="40% - Accent4" xfId="4" builtinId="43"/>
    <cellStyle name="40% - Accent5" xfId="5" builtinId="47"/>
    <cellStyle name="Accent3" xfId="7" builtinId="37"/>
    <cellStyle name="Currency" xfId="2" builtinId="4"/>
    <cellStyle name="Normal" xfId="0" builtinId="0"/>
  </cellStyles>
  <dxfs count="97">
    <dxf>
      <numFmt numFmtId="175" formatCode="&quot;$&quot;#,##0"/>
    </dxf>
    <dxf>
      <numFmt numFmtId="175" formatCode="&quot;$&quot;#,##0"/>
    </dxf>
    <dxf>
      <numFmt numFmtId="175" formatCode="&quot;$&quot;#,##0"/>
    </dxf>
    <dxf>
      <numFmt numFmtId="175" formatCode="&quot;$&quot;#,##0"/>
    </dxf>
    <dxf>
      <numFmt numFmtId="19" formatCode="d/m/yyyy"/>
    </dxf>
    <dxf>
      <numFmt numFmtId="175" formatCode="&quot;$&quot;#,##0"/>
    </dxf>
    <dxf>
      <numFmt numFmtId="19" formatCode="d/m/yyyy"/>
    </dxf>
    <dxf>
      <numFmt numFmtId="175" formatCode="&quot;$&quot;#,##0"/>
    </dxf>
    <dxf>
      <numFmt numFmtId="175" formatCode="&quot;$&quot;#,##0"/>
    </dxf>
    <dxf>
      <numFmt numFmtId="175" formatCode="&quot;$&quot;#,##0"/>
    </dxf>
    <dxf>
      <numFmt numFmtId="175" formatCode="&quot;$&quot;#,##0"/>
    </dxf>
    <dxf>
      <numFmt numFmtId="19" formatCode="d/m/yyyy"/>
    </dxf>
    <dxf>
      <numFmt numFmtId="172" formatCode="&quot;$&quot;#,##0.00"/>
      <fill>
        <patternFill patternType="solid">
          <fgColor indexed="64"/>
          <bgColor theme="8" tint="0.59999389629810485"/>
        </patternFill>
      </fill>
      <border diagonalUp="0" diagonalDown="0" outline="0">
        <left style="thin">
          <color indexed="64"/>
        </left>
        <right/>
        <top style="thin">
          <color indexed="64"/>
        </top>
        <bottom style="thin">
          <color indexed="64"/>
        </bottom>
      </border>
    </dxf>
    <dxf>
      <fill>
        <patternFill patternType="solid">
          <fgColor indexed="64"/>
          <bgColor theme="8" tint="0.5999938962981048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8" formatCode="#,##0.00;[Red]\-#,##0.00"/>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right style="thin">
          <color indexed="64"/>
        </right>
        <top style="thin">
          <color indexed="64"/>
        </top>
        <bottom style="thin">
          <color indexed="64"/>
        </bottom>
      </border>
    </dxf>
    <dxf>
      <fill>
        <patternFill patternType="solid">
          <fgColor indexed="64"/>
          <bgColor theme="8" tint="0.59999389629810485"/>
        </patternFill>
      </fill>
    </dxf>
    <dxf>
      <font>
        <strike val="0"/>
        <outline val="0"/>
        <shadow val="0"/>
        <u val="none"/>
        <vertAlign val="baseline"/>
        <sz val="11"/>
        <color auto="1"/>
        <name val="Calibri"/>
        <family val="2"/>
        <scheme val="minor"/>
      </font>
      <fill>
        <patternFill patternType="solid">
          <fgColor indexed="64"/>
          <bgColor theme="8" tint="0.59999389629810485"/>
        </patternFill>
      </fill>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top style="thin">
          <color indexed="64"/>
        </top>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5" formatCode="&quot;$&quot;#,##0"/>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strike val="0"/>
        <outline val="0"/>
        <shadow val="0"/>
        <u val="none"/>
        <vertAlign val="baseline"/>
        <color auto="1"/>
        <name val="Calibri"/>
        <family val="2"/>
        <scheme val="minor"/>
      </font>
      <fill>
        <patternFill patternType="solid">
          <fgColor indexed="64"/>
          <bgColor rgb="FFFAD3E9"/>
        </patternFill>
      </fill>
    </dxf>
    <dxf>
      <font>
        <b/>
        <family val="2"/>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gradientFill degree="90">
          <stop position="0">
            <color theme="0"/>
          </stop>
          <stop position="1">
            <color theme="4"/>
          </stop>
        </gradientFill>
      </fill>
    </dxf>
  </dxfs>
  <tableStyles count="2" defaultTableStyle="TableStyleMedium2" defaultPivotStyle="PivotStyleLight16">
    <tableStyle name="Table Style 1" pivot="0" count="1" xr9:uid="{AED071F5-6A39-47E5-B30D-B83A60DE1280}">
      <tableStyleElement type="wholeTable" dxfId="96"/>
    </tableStyle>
    <tableStyle name="Table Style 2" pivot="0" count="0" xr9:uid="{A757AE4C-11CA-43A8-9322-D21C9C14D238}"/>
  </tableStyles>
  <colors>
    <mruColors>
      <color rgb="FF926F00"/>
      <color rgb="FFBDFBFA"/>
      <color rgb="FF702CBA"/>
      <color rgb="FF4F1F83"/>
      <color rgb="FF9B155E"/>
      <color rgb="FFB083E1"/>
      <color rgb="FFDBBD0B"/>
      <color rgb="FFC89800"/>
      <color rgb="FFAC8300"/>
      <color rgb="FFFAD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RichValueTypes" Target="richData/rdRichValueTyp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953-4C10-8DDE-9A78BDA32B0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953-4C10-8DDE-9A78BDA32B0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953-4C10-8DDE-9A78BDA32B0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953-4C10-8DDE-9A78BDA32B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Assets!$P$18:$P$21</c:f>
              <c:strCache>
                <c:ptCount val="4"/>
                <c:pt idx="0">
                  <c:v>SALARY</c:v>
                </c:pt>
                <c:pt idx="1">
                  <c:v>SUBSIDY</c:v>
                </c:pt>
                <c:pt idx="2">
                  <c:v>INVESTMENTS</c:v>
                </c:pt>
                <c:pt idx="3">
                  <c:v>OTHERS</c:v>
                </c:pt>
              </c:strCache>
            </c:strRef>
          </c:cat>
          <c:val>
            <c:numRef>
              <c:f>Assets!$Q$18:$Q$21</c:f>
              <c:numCache>
                <c:formatCode>General</c:formatCode>
                <c:ptCount val="4"/>
                <c:pt idx="0">
                  <c:v>3000</c:v>
                </c:pt>
                <c:pt idx="1">
                  <c:v>500</c:v>
                </c:pt>
                <c:pt idx="2">
                  <c:v>500</c:v>
                </c:pt>
                <c:pt idx="3">
                  <c:v>500</c:v>
                </c:pt>
              </c:numCache>
            </c:numRef>
          </c:val>
          <c:extLst>
            <c:ext xmlns:c16="http://schemas.microsoft.com/office/drawing/2014/chart" uri="{C3380CC4-5D6E-409C-BE32-E72D297353CC}">
              <c16:uniqueId val="{00000000-F37C-4C35-AF82-A1EF606BFB0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21771644347017222"/>
          <c:y val="2.6770812713876865E-2"/>
          <c:w val="0.58392230782692345"/>
          <c:h val="0.14389389503683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135-4F91-A006-41C9DC807D4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135-4F91-A006-41C9DC807D4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135-4F91-A006-41C9DC807D4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135-4F91-A006-41C9DC807D4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135-4F91-A006-41C9DC807D4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Liabilities!$A$26:$A$30</c:f>
              <c:strCache>
                <c:ptCount val="5"/>
                <c:pt idx="0">
                  <c:v>HOUSEHOLD</c:v>
                </c:pt>
                <c:pt idx="1">
                  <c:v>UTILITIES</c:v>
                </c:pt>
                <c:pt idx="2">
                  <c:v>RENTAL</c:v>
                </c:pt>
                <c:pt idx="3">
                  <c:v>MORTGAGE </c:v>
                </c:pt>
                <c:pt idx="4">
                  <c:v>BANK LOAN</c:v>
                </c:pt>
              </c:strCache>
            </c:strRef>
          </c:cat>
          <c:val>
            <c:numRef>
              <c:f>Liabilities!$B$26:$B$30</c:f>
              <c:numCache>
                <c:formatCode>General</c:formatCode>
                <c:ptCount val="5"/>
                <c:pt idx="0">
                  <c:v>1100</c:v>
                </c:pt>
                <c:pt idx="1">
                  <c:v>300</c:v>
                </c:pt>
                <c:pt idx="2">
                  <c:v>8000</c:v>
                </c:pt>
                <c:pt idx="3">
                  <c:v>50000</c:v>
                </c:pt>
                <c:pt idx="4">
                  <c:v>30000</c:v>
                </c:pt>
              </c:numCache>
            </c:numRef>
          </c:val>
          <c:extLst>
            <c:ext xmlns:c16="http://schemas.microsoft.com/office/drawing/2014/chart" uri="{C3380CC4-5D6E-409C-BE32-E72D297353CC}">
              <c16:uniqueId val="{00000000-4EF9-4B48-82B1-4E23D3F1BAB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19513842597713238"/>
          <c:y val="3.8476374612139486E-2"/>
          <c:w val="0.6730274916308312"/>
          <c:h val="0.155596035229952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54946901866946E-2"/>
          <c:y val="0.28072734910255071"/>
          <c:w val="0.75863279167993047"/>
          <c:h val="0.64039250247482571"/>
        </c:manualLayout>
      </c:layout>
      <c:doughnut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AFD-4990-AF64-12D58D52D60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7AFD-4990-AF64-12D58D52D60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AFD-4990-AF64-12D58D52D60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7AFD-4990-AF64-12D58D52D60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Investments!$N$4:$N$7</c:f>
              <c:strCache>
                <c:ptCount val="4"/>
                <c:pt idx="0">
                  <c:v>Pharmaceuticals</c:v>
                </c:pt>
                <c:pt idx="1">
                  <c:v>Textiles &amp; Apparel</c:v>
                </c:pt>
                <c:pt idx="2">
                  <c:v>Software &amp; IT Services</c:v>
                </c:pt>
                <c:pt idx="3">
                  <c:v>Computers, Phones &amp; Household Electronics</c:v>
                </c:pt>
              </c:strCache>
            </c:strRef>
          </c:cat>
          <c:val>
            <c:numRef>
              <c:f>Investments!$O$4:$O$7</c:f>
              <c:numCache>
                <c:formatCode>General</c:formatCode>
                <c:ptCount val="4"/>
                <c:pt idx="0">
                  <c:v>2530</c:v>
                </c:pt>
                <c:pt idx="1">
                  <c:v>3674.25</c:v>
                </c:pt>
                <c:pt idx="2">
                  <c:v>2538.6999999999998</c:v>
                </c:pt>
                <c:pt idx="3">
                  <c:v>2396.6999999999998</c:v>
                </c:pt>
              </c:numCache>
            </c:numRef>
          </c:val>
          <c:extLst>
            <c:ext xmlns:c16="http://schemas.microsoft.com/office/drawing/2014/chart" uri="{C3380CC4-5D6E-409C-BE32-E72D297353CC}">
              <c16:uniqueId val="{00000000-7AFD-4990-AF64-12D58D52D60D}"/>
            </c:ext>
          </c:extLst>
        </c:ser>
        <c:dLbls>
          <c:showLegendKey val="0"/>
          <c:showVal val="1"/>
          <c:showCatName val="0"/>
          <c:showSerName val="0"/>
          <c:showPercent val="0"/>
          <c:showBubbleSize val="0"/>
          <c:showLeaderLines val="1"/>
        </c:dLbls>
        <c:firstSliceAng val="0"/>
        <c:holeSize val="61"/>
      </c:doughnutChart>
      <c:spPr>
        <a:noFill/>
        <a:ln>
          <a:noFill/>
        </a:ln>
        <a:effectLst/>
      </c:spPr>
    </c:plotArea>
    <c:legend>
      <c:legendPos val="b"/>
      <c:layout>
        <c:manualLayout>
          <c:xMode val="edge"/>
          <c:yMode val="edge"/>
          <c:x val="8.4586844445095049E-3"/>
          <c:y val="4.0062954246282449E-3"/>
          <c:w val="0.82871385064221492"/>
          <c:h val="0.1907000603842041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Calculations!$C$11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7BC-40EF-AB88-F458371545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7BC-40EF-AB88-F458371545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7BC-40EF-AB88-F458371545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7BC-40EF-AB88-F458371545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7BC-40EF-AB88-F458371545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A7BC-40EF-AB88-F458371545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A7BC-40EF-AB88-F458371545F5}"/>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A7BC-40EF-AB88-F458371545F5}"/>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A7BC-40EF-AB88-F458371545F5}"/>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A7BC-40EF-AB88-F458371545F5}"/>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A7BC-40EF-AB88-F458371545F5}"/>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A7BC-40EF-AB88-F458371545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2100</c:v>
                </c:pt>
                <c:pt idx="11">
                  <c:v>5000</c:v>
                </c:pt>
              </c:numCache>
            </c:numRef>
          </c:val>
          <c:extLst>
            <c:ext xmlns:c16="http://schemas.microsoft.com/office/drawing/2014/chart" uri="{C3380CC4-5D6E-409C-BE32-E72D297353CC}">
              <c16:uniqueId val="{00000008-97D7-4274-9C7C-57DCEBD5B3C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397-47D5-B4E3-A068569FD3E0}"/>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397-47D5-B4E3-A068569FD3E0}"/>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397-47D5-B4E3-A068569FD3E0}"/>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397-47D5-B4E3-A068569FD3E0}"/>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397-47D5-B4E3-A068569FD3E0}"/>
              </c:ext>
            </c:extLst>
          </c:dPt>
          <c:dPt>
            <c:idx val="5"/>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D397-47D5-B4E3-A068569FD3E0}"/>
              </c:ext>
            </c:extLst>
          </c:dPt>
          <c:dPt>
            <c:idx val="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D397-47D5-B4E3-A068569FD3E0}"/>
              </c:ext>
            </c:extLst>
          </c:dPt>
          <c:dPt>
            <c:idx val="7"/>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D397-47D5-B4E3-A068569FD3E0}"/>
              </c:ext>
            </c:extLst>
          </c:dPt>
          <c:dPt>
            <c:idx val="8"/>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D397-47D5-B4E3-A068569FD3E0}"/>
              </c:ext>
            </c:extLst>
          </c:dPt>
          <c:dPt>
            <c:idx val="9"/>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D397-47D5-B4E3-A068569FD3E0}"/>
              </c:ext>
            </c:extLst>
          </c:dPt>
          <c:dPt>
            <c:idx val="10"/>
            <c:bubble3D val="0"/>
            <c:spPr>
              <a:solidFill>
                <a:schemeClr val="accent3">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D397-47D5-B4E3-A068569FD3E0}"/>
              </c:ext>
            </c:extLst>
          </c:dPt>
          <c:dPt>
            <c:idx val="11"/>
            <c:bubble3D val="0"/>
            <c:spPr>
              <a:solidFill>
                <a:schemeClr val="accent5">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D397-47D5-B4E3-A068569FD3E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500</c:v>
                </c:pt>
                <c:pt idx="1">
                  <c:v>2600</c:v>
                </c:pt>
                <c:pt idx="2">
                  <c:v>1200</c:v>
                </c:pt>
                <c:pt idx="3">
                  <c:v>1050</c:v>
                </c:pt>
                <c:pt idx="4">
                  <c:v>750</c:v>
                </c:pt>
                <c:pt idx="5">
                  <c:v>9000</c:v>
                </c:pt>
                <c:pt idx="6">
                  <c:v>1000</c:v>
                </c:pt>
                <c:pt idx="7">
                  <c:v>1200</c:v>
                </c:pt>
                <c:pt idx="8">
                  <c:v>1350</c:v>
                </c:pt>
                <c:pt idx="9">
                  <c:v>1000</c:v>
                </c:pt>
                <c:pt idx="10">
                  <c:v>1000</c:v>
                </c:pt>
                <c:pt idx="11">
                  <c:v>1000</c:v>
                </c:pt>
              </c:numCache>
            </c:numRef>
          </c:val>
          <c:extLst>
            <c:ext xmlns:c16="http://schemas.microsoft.com/office/drawing/2014/chart" uri="{C3380CC4-5D6E-409C-BE32-E72D297353CC}">
              <c16:uniqueId val="{00000018-D397-47D5-B4E3-A068569FD3E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Expenses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smooth val="0"/>
          <c:extLst>
            <c:ext xmlns:c16="http://schemas.microsoft.com/office/drawing/2014/chart" uri="{C3380CC4-5D6E-409C-BE32-E72D297353CC}">
              <c16:uniqueId val="{00000000-04CC-41E9-9216-028F3E739EE6}"/>
            </c:ext>
          </c:extLst>
        </c:ser>
        <c:dLbls>
          <c:dLblPos val="ctr"/>
          <c:showLegendKey val="0"/>
          <c:showVal val="1"/>
          <c:showCatName val="0"/>
          <c:showSerName val="0"/>
          <c:showPercent val="0"/>
          <c:showBubbleSize val="0"/>
        </c:dLbls>
        <c:smooth val="0"/>
        <c:axId val="803454344"/>
        <c:axId val="803454672"/>
      </c:lineChart>
      <c:catAx>
        <c:axId val="803454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672"/>
        <c:crosses val="autoZero"/>
        <c:auto val="1"/>
        <c:lblAlgn val="ctr"/>
        <c:lblOffset val="100"/>
        <c:noMultiLvlLbl val="0"/>
      </c:catAx>
      <c:valAx>
        <c:axId val="8034546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Loans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smooth val="0"/>
          <c:extLst>
            <c:ext xmlns:c16="http://schemas.microsoft.com/office/drawing/2014/chart" uri="{C3380CC4-5D6E-409C-BE32-E72D297353CC}">
              <c16:uniqueId val="{00000000-4B49-4C6A-BC5E-D6FB598AE925}"/>
            </c:ext>
          </c:extLst>
        </c:ser>
        <c:dLbls>
          <c:dLblPos val="ctr"/>
          <c:showLegendKey val="0"/>
          <c:showVal val="1"/>
          <c:showCatName val="0"/>
          <c:showSerName val="0"/>
          <c:showPercent val="0"/>
          <c:showBubbleSize val="0"/>
        </c:dLbls>
        <c:smooth val="0"/>
        <c:axId val="651667848"/>
        <c:axId val="651669160"/>
      </c:lineChart>
      <c:catAx>
        <c:axId val="6516678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9160"/>
        <c:crosses val="autoZero"/>
        <c:auto val="1"/>
        <c:lblAlgn val="ctr"/>
        <c:lblOffset val="100"/>
        <c:noMultiLvlLbl val="0"/>
      </c:catAx>
      <c:valAx>
        <c:axId val="6516691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7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Liablities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500</c:v>
                </c:pt>
                <c:pt idx="1">
                  <c:v>2600</c:v>
                </c:pt>
                <c:pt idx="2">
                  <c:v>1200</c:v>
                </c:pt>
                <c:pt idx="3">
                  <c:v>1050</c:v>
                </c:pt>
                <c:pt idx="4">
                  <c:v>750</c:v>
                </c:pt>
                <c:pt idx="5">
                  <c:v>9000</c:v>
                </c:pt>
                <c:pt idx="6">
                  <c:v>1000</c:v>
                </c:pt>
                <c:pt idx="7">
                  <c:v>1200</c:v>
                </c:pt>
                <c:pt idx="8">
                  <c:v>1350</c:v>
                </c:pt>
                <c:pt idx="9">
                  <c:v>1000</c:v>
                </c:pt>
                <c:pt idx="10">
                  <c:v>1000</c:v>
                </c:pt>
                <c:pt idx="11">
                  <c:v>1000</c:v>
                </c:pt>
              </c:numCache>
            </c:numRef>
          </c:val>
          <c:smooth val="0"/>
          <c:extLst>
            <c:ext xmlns:c16="http://schemas.microsoft.com/office/drawing/2014/chart" uri="{C3380CC4-5D6E-409C-BE32-E72D297353CC}">
              <c16:uniqueId val="{00000000-F871-4D52-963C-B72BCF32FAB2}"/>
            </c:ext>
          </c:extLst>
        </c:ser>
        <c:dLbls>
          <c:dLblPos val="ctr"/>
          <c:showLegendKey val="0"/>
          <c:showVal val="1"/>
          <c:showCatName val="0"/>
          <c:showSerName val="0"/>
          <c:showPercent val="0"/>
          <c:showBubbleSize val="0"/>
        </c:dLbls>
        <c:smooth val="0"/>
        <c:axId val="588114248"/>
        <c:axId val="588114576"/>
      </c:lineChart>
      <c:catAx>
        <c:axId val="5881142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576"/>
        <c:crosses val="autoZero"/>
        <c:auto val="1"/>
        <c:lblAlgn val="ctr"/>
        <c:lblOffset val="100"/>
        <c:noMultiLvlLbl val="0"/>
      </c:catAx>
      <c:valAx>
        <c:axId val="5881145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Assets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2100</c:v>
                </c:pt>
                <c:pt idx="11">
                  <c:v>5000</c:v>
                </c:pt>
              </c:numCache>
            </c:numRef>
          </c:val>
          <c:smooth val="0"/>
          <c:extLst>
            <c:ext xmlns:c16="http://schemas.microsoft.com/office/drawing/2014/chart" uri="{C3380CC4-5D6E-409C-BE32-E72D297353CC}">
              <c16:uniqueId val="{00000000-5215-4542-81A8-4CFC258ACAFC}"/>
            </c:ext>
          </c:extLst>
        </c:ser>
        <c:dLbls>
          <c:dLblPos val="ctr"/>
          <c:showLegendKey val="0"/>
          <c:showVal val="1"/>
          <c:showCatName val="0"/>
          <c:showSerName val="0"/>
          <c:showPercent val="0"/>
          <c:showBubbleSize val="0"/>
        </c:dLbls>
        <c:smooth val="0"/>
        <c:axId val="636555528"/>
        <c:axId val="636549952"/>
      </c:lineChart>
      <c:catAx>
        <c:axId val="636555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49952"/>
        <c:crosses val="autoZero"/>
        <c:auto val="1"/>
        <c:lblAlgn val="ctr"/>
        <c:lblOffset val="100"/>
        <c:noMultiLvlLbl val="0"/>
      </c:catAx>
      <c:valAx>
        <c:axId val="6365499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55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24918651730051"/>
          <c:y val="0.12913148146261794"/>
          <c:w val="0.46529678663984037"/>
          <c:h val="0.76325527226302403"/>
        </c:manualLayout>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AA2-44CE-AB97-4024F3AF2E0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AA2-44CE-AB97-4024F3AF2E0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AA2-44CE-AB97-4024F3AF2E0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AA2-44CE-AB97-4024F3AF2E0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AA2-44CE-AB97-4024F3AF2E0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AA2-44CE-AB97-4024F3AF2E0F}"/>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AA2-44CE-AB97-4024F3AF2E0F}"/>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AA2-44CE-AB97-4024F3AF2E0F}"/>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AA2-44CE-AB97-4024F3AF2E0F}"/>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AA2-44CE-AB97-4024F3AF2E0F}"/>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EAA2-44CE-AB97-4024F3AF2E0F}"/>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EAA2-44CE-AB97-4024F3AF2E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extLst>
            <c:ext xmlns:c16="http://schemas.microsoft.com/office/drawing/2014/chart" uri="{C3380CC4-5D6E-409C-BE32-E72D297353CC}">
              <c16:uniqueId val="{00000000-6CC4-4AD8-AF90-F3FAC7018AF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D0B-4C4E-BFDC-B80356D6B07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D0B-4C4E-BFDC-B80356D6B07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D0B-4C4E-BFDC-B80356D6B07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D0B-4C4E-BFDC-B80356D6B07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D0B-4C4E-BFDC-B80356D6B07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D0B-4C4E-BFDC-B80356D6B07E}"/>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D0B-4C4E-BFDC-B80356D6B07E}"/>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BD0B-4C4E-BFDC-B80356D6B07E}"/>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D0B-4C4E-BFDC-B80356D6B07E}"/>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D0B-4C4E-BFDC-B80356D6B07E}"/>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BD0B-4C4E-BFDC-B80356D6B07E}"/>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BD0B-4C4E-BFDC-B80356D6B0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extLst>
            <c:ext xmlns:c16="http://schemas.microsoft.com/office/drawing/2014/chart" uri="{C3380CC4-5D6E-409C-BE32-E72D297353CC}">
              <c16:uniqueId val="{00000000-8BE0-4150-94B8-9C8AED9C137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sz="1800" b="1" i="0" baseline="0">
                <a:effectLst/>
              </a:rPr>
              <a:t>Monthly Net Worth</a:t>
            </a:r>
            <a:endParaRPr lang="en-SG">
              <a:effectLst/>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v>Average</c:v>
          </c:tx>
          <c:spPr>
            <a:ln w="22225" cap="rnd">
              <a:solidFill>
                <a:schemeClr val="accent1"/>
              </a:solidFill>
            </a:ln>
            <a:effectLst>
              <a:glow rad="139700">
                <a:schemeClr val="accent1">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Calculations!$A$91:$A$102</c:f>
              <c:numCache>
                <c:formatCode>"$"#,##0</c:formatCode>
                <c:ptCount val="12"/>
                <c:pt idx="0">
                  <c:v>804.16666666666663</c:v>
                </c:pt>
                <c:pt idx="1">
                  <c:v>804.16666666666663</c:v>
                </c:pt>
                <c:pt idx="2">
                  <c:v>804.16666666666663</c:v>
                </c:pt>
                <c:pt idx="3">
                  <c:v>804.16666666666663</c:v>
                </c:pt>
                <c:pt idx="4">
                  <c:v>804.16666666666663</c:v>
                </c:pt>
                <c:pt idx="5">
                  <c:v>804.16666666666663</c:v>
                </c:pt>
                <c:pt idx="6">
                  <c:v>804.16666666666663</c:v>
                </c:pt>
                <c:pt idx="7">
                  <c:v>804.16666666666663</c:v>
                </c:pt>
                <c:pt idx="8">
                  <c:v>804.16666666666663</c:v>
                </c:pt>
                <c:pt idx="9">
                  <c:v>804.16666666666663</c:v>
                </c:pt>
                <c:pt idx="10">
                  <c:v>804.16666666666663</c:v>
                </c:pt>
                <c:pt idx="11">
                  <c:v>804.16666666666663</c:v>
                </c:pt>
              </c:numCache>
            </c:numRef>
          </c:val>
          <c:smooth val="0"/>
          <c:extLst>
            <c:ext xmlns:c16="http://schemas.microsoft.com/office/drawing/2014/chart" uri="{C3380CC4-5D6E-409C-BE32-E72D297353CC}">
              <c16:uniqueId val="{00000000-16E1-4C60-ADF2-4EAA2F43E759}"/>
            </c:ext>
          </c:extLst>
        </c:ser>
        <c:ser>
          <c:idx val="2"/>
          <c:order val="1"/>
          <c:tx>
            <c:v>Net Worth</c:v>
          </c:tx>
          <c:spPr>
            <a:ln w="22225" cap="rnd">
              <a:solidFill>
                <a:schemeClr val="accent3"/>
              </a:solidFill>
            </a:ln>
            <a:effectLst>
              <a:glow rad="139700">
                <a:schemeClr val="accent3">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Calculations!$C$91:$C$102</c:f>
              <c:numCache>
                <c:formatCode>"$"#,##0</c:formatCode>
                <c:ptCount val="12"/>
                <c:pt idx="0">
                  <c:v>500</c:v>
                </c:pt>
                <c:pt idx="1">
                  <c:v>-1100</c:v>
                </c:pt>
                <c:pt idx="2">
                  <c:v>1000</c:v>
                </c:pt>
                <c:pt idx="3">
                  <c:v>2450</c:v>
                </c:pt>
                <c:pt idx="4">
                  <c:v>1950</c:v>
                </c:pt>
                <c:pt idx="5">
                  <c:v>-5400</c:v>
                </c:pt>
                <c:pt idx="6">
                  <c:v>2300</c:v>
                </c:pt>
                <c:pt idx="7">
                  <c:v>1600</c:v>
                </c:pt>
                <c:pt idx="8">
                  <c:v>150</c:v>
                </c:pt>
                <c:pt idx="9">
                  <c:v>1100</c:v>
                </c:pt>
                <c:pt idx="10">
                  <c:v>1100</c:v>
                </c:pt>
                <c:pt idx="11">
                  <c:v>4000</c:v>
                </c:pt>
              </c:numCache>
            </c:numRef>
          </c:val>
          <c:smooth val="0"/>
          <c:extLst>
            <c:ext xmlns:c16="http://schemas.microsoft.com/office/drawing/2014/chart" uri="{C3380CC4-5D6E-409C-BE32-E72D297353CC}">
              <c16:uniqueId val="{00000002-16E1-4C60-ADF2-4EAA2F43E759}"/>
            </c:ext>
          </c:extLst>
        </c:ser>
        <c:dLbls>
          <c:showLegendKey val="0"/>
          <c:showVal val="0"/>
          <c:showCatName val="0"/>
          <c:showSerName val="0"/>
          <c:showPercent val="0"/>
          <c:showBubbleSize val="0"/>
        </c:dLbls>
        <c:smooth val="0"/>
        <c:axId val="183184752"/>
        <c:axId val="183174768"/>
      </c:lineChart>
      <c:catAx>
        <c:axId val="1831847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74768"/>
        <c:crosses val="autoZero"/>
        <c:auto val="1"/>
        <c:lblAlgn val="ctr"/>
        <c:lblOffset val="100"/>
        <c:noMultiLvlLbl val="0"/>
      </c:catAx>
      <c:valAx>
        <c:axId val="1831747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84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0-7931-4D5B-889D-3BAF57CD744D}"/>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7-7931-4D5B-889D-3BAF57CD744D}"/>
            </c:ext>
          </c:extLst>
        </c:ser>
        <c:dLbls>
          <c:showLegendKey val="0"/>
          <c:showVal val="0"/>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'Liabilities Forecast Sheet'!$B$1</c:f>
              <c:strCache>
                <c:ptCount val="1"/>
                <c:pt idx="0">
                  <c:v>Values</c:v>
                </c:pt>
              </c:strCache>
            </c:strRef>
          </c:tx>
          <c:spPr>
            <a:ln w="28575" cap="rnd">
              <a:solidFill>
                <a:schemeClr val="accent1"/>
              </a:solidFill>
              <a:round/>
            </a:ln>
            <a:effectLst/>
          </c:spPr>
          <c:marker>
            <c:symbol val="none"/>
          </c:marker>
          <c:val>
            <c:numRef>
              <c:f>'Liabilities Forecast Sheet'!$B$2:$B$14</c:f>
              <c:numCache>
                <c:formatCode>"$"#,##0</c:formatCode>
                <c:ptCount val="13"/>
                <c:pt idx="0">
                  <c:v>1400</c:v>
                </c:pt>
                <c:pt idx="1">
                  <c:v>2600</c:v>
                </c:pt>
                <c:pt idx="2">
                  <c:v>1200</c:v>
                </c:pt>
                <c:pt idx="3">
                  <c:v>1050</c:v>
                </c:pt>
                <c:pt idx="4">
                  <c:v>750</c:v>
                </c:pt>
                <c:pt idx="5">
                  <c:v>700</c:v>
                </c:pt>
                <c:pt idx="6">
                  <c:v>1000</c:v>
                </c:pt>
                <c:pt idx="7">
                  <c:v>1200</c:v>
                </c:pt>
                <c:pt idx="8">
                  <c:v>1350</c:v>
                </c:pt>
                <c:pt idx="9">
                  <c:v>1000</c:v>
                </c:pt>
                <c:pt idx="10">
                  <c:v>1000</c:v>
                </c:pt>
                <c:pt idx="11">
                  <c:v>1000</c:v>
                </c:pt>
              </c:numCache>
            </c:numRef>
          </c:val>
          <c:smooth val="0"/>
          <c:extLst>
            <c:ext xmlns:c16="http://schemas.microsoft.com/office/drawing/2014/chart" uri="{C3380CC4-5D6E-409C-BE32-E72D297353CC}">
              <c16:uniqueId val="{00000000-0724-4E68-AAF9-923A2BD38F50}"/>
            </c:ext>
          </c:extLst>
        </c:ser>
        <c:ser>
          <c:idx val="1"/>
          <c:order val="1"/>
          <c:tx>
            <c:strRef>
              <c:f>'Liabilities Forecast Sheet'!$C$1</c:f>
              <c:strCache>
                <c:ptCount val="1"/>
                <c:pt idx="0">
                  <c:v>Forecast</c:v>
                </c:pt>
              </c:strCache>
            </c:strRef>
          </c:tx>
          <c:spPr>
            <a:ln w="25400" cap="rnd">
              <a:solidFill>
                <a:schemeClr val="accent2"/>
              </a:solidFill>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Sheet'!$C$2:$C$14</c:f>
              <c:numCache>
                <c:formatCode>General</c:formatCode>
                <c:ptCount val="13"/>
                <c:pt idx="11" formatCode="&quot;$&quot;#,##0">
                  <c:v>1000</c:v>
                </c:pt>
                <c:pt idx="12" formatCode="&quot;$&quot;#,##0">
                  <c:v>695.98948159242832</c:v>
                </c:pt>
              </c:numCache>
            </c:numRef>
          </c:val>
          <c:smooth val="0"/>
          <c:extLst>
            <c:ext xmlns:c16="http://schemas.microsoft.com/office/drawing/2014/chart" uri="{C3380CC4-5D6E-409C-BE32-E72D297353CC}">
              <c16:uniqueId val="{00000001-0724-4E68-AAF9-923A2BD38F50}"/>
            </c:ext>
          </c:extLst>
        </c:ser>
        <c:ser>
          <c:idx val="2"/>
          <c:order val="2"/>
          <c:tx>
            <c:strRef>
              <c:f>'Liabilities Forecast Sheet'!$D$1</c:f>
              <c:strCache>
                <c:ptCount val="1"/>
                <c:pt idx="0">
                  <c:v>Lower Confidence Bound</c:v>
                </c:pt>
              </c:strCache>
            </c:strRef>
          </c:tx>
          <c:spPr>
            <a:ln w="12700" cap="rnd">
              <a:solidFill>
                <a:srgbClr val="C830CC"/>
              </a:solidFill>
              <a:prstDash val="solid"/>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Sheet'!$D$2:$D$14</c:f>
              <c:numCache>
                <c:formatCode>General</c:formatCode>
                <c:ptCount val="13"/>
                <c:pt idx="11" formatCode="&quot;$&quot;#,##0">
                  <c:v>1000</c:v>
                </c:pt>
                <c:pt idx="12" formatCode="&quot;$&quot;#,##0">
                  <c:v>-162.5051840607623</c:v>
                </c:pt>
              </c:numCache>
            </c:numRef>
          </c:val>
          <c:smooth val="0"/>
          <c:extLst>
            <c:ext xmlns:c16="http://schemas.microsoft.com/office/drawing/2014/chart" uri="{C3380CC4-5D6E-409C-BE32-E72D297353CC}">
              <c16:uniqueId val="{00000002-0724-4E68-AAF9-923A2BD38F50}"/>
            </c:ext>
          </c:extLst>
        </c:ser>
        <c:ser>
          <c:idx val="3"/>
          <c:order val="3"/>
          <c:tx>
            <c:strRef>
              <c:f>'Liabilities Forecast Sheet'!$E$1</c:f>
              <c:strCache>
                <c:ptCount val="1"/>
                <c:pt idx="0">
                  <c:v>Upper Confidence Bound</c:v>
                </c:pt>
              </c:strCache>
            </c:strRef>
          </c:tx>
          <c:spPr>
            <a:ln w="12700" cap="rnd">
              <a:solidFill>
                <a:srgbClr val="C830CC"/>
              </a:solidFill>
              <a:prstDash val="solid"/>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Sheet'!$E$2:$E$14</c:f>
              <c:numCache>
                <c:formatCode>General</c:formatCode>
                <c:ptCount val="13"/>
                <c:pt idx="11" formatCode="&quot;$&quot;#,##0">
                  <c:v>1000</c:v>
                </c:pt>
                <c:pt idx="12" formatCode="&quot;$&quot;#,##0">
                  <c:v>1554.4841472456189</c:v>
                </c:pt>
              </c:numCache>
            </c:numRef>
          </c:val>
          <c:smooth val="0"/>
          <c:extLst>
            <c:ext xmlns:c16="http://schemas.microsoft.com/office/drawing/2014/chart" uri="{C3380CC4-5D6E-409C-BE32-E72D297353CC}">
              <c16:uniqueId val="{00000003-0724-4E68-AAF9-923A2BD38F50}"/>
            </c:ext>
          </c:extLst>
        </c:ser>
        <c:dLbls>
          <c:showLegendKey val="0"/>
          <c:showVal val="0"/>
          <c:showCatName val="0"/>
          <c:showSerName val="0"/>
          <c:showPercent val="0"/>
          <c:showBubbleSize val="0"/>
        </c:dLbls>
        <c:smooth val="0"/>
        <c:axId val="511782704"/>
        <c:axId val="448894240"/>
      </c:lineChart>
      <c:catAx>
        <c:axId val="511782704"/>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94240"/>
        <c:crosses val="autoZero"/>
        <c:auto val="1"/>
        <c:lblAlgn val="ctr"/>
        <c:lblOffset val="100"/>
        <c:noMultiLvlLbl val="0"/>
      </c:catAx>
      <c:valAx>
        <c:axId val="4488942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8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Sheet2!$B$19:$B$30</c:f>
              <c:numCache>
                <c:formatCode>"$"#,##0</c:formatCode>
                <c:ptCount val="12"/>
                <c:pt idx="0">
                  <c:v>4380.5827380762521</c:v>
                </c:pt>
                <c:pt idx="1">
                  <c:v>3174.6224771366792</c:v>
                </c:pt>
                <c:pt idx="2">
                  <c:v>2759.4945878775625</c:v>
                </c:pt>
                <c:pt idx="3">
                  <c:v>5072.9663533428111</c:v>
                </c:pt>
                <c:pt idx="4">
                  <c:v>6145.5292205423821</c:v>
                </c:pt>
                <c:pt idx="5">
                  <c:v>4336.9499563318732</c:v>
                </c:pt>
                <c:pt idx="6">
                  <c:v>8022.6130650758378</c:v>
                </c:pt>
                <c:pt idx="7">
                  <c:v>6817.4087635730284</c:v>
                </c:pt>
                <c:pt idx="8">
                  <c:v>7304.4882857013799</c:v>
                </c:pt>
                <c:pt idx="9">
                  <c:v>7253.0018112654634</c:v>
                </c:pt>
                <c:pt idx="10">
                  <c:v>6358.0760980019859</c:v>
                </c:pt>
                <c:pt idx="11">
                  <c:v>9401.092221936502</c:v>
                </c:pt>
              </c:numCache>
            </c:numRef>
          </c:val>
          <c:smooth val="0"/>
          <c:extLst>
            <c:ext xmlns:c16="http://schemas.microsoft.com/office/drawing/2014/chart" uri="{C3380CC4-5D6E-409C-BE32-E72D297353CC}">
              <c16:uniqueId val="{00000001-1ADD-4A9C-A5AA-036DD1812D5A}"/>
            </c:ext>
          </c:extLst>
        </c:ser>
        <c:ser>
          <c:idx val="1"/>
          <c:order val="1"/>
          <c:spPr>
            <a:ln w="28575" cap="rnd">
              <a:solidFill>
                <a:schemeClr val="accent2"/>
              </a:solidFill>
              <a:round/>
            </a:ln>
            <a:effectLst/>
          </c:spPr>
          <c:marker>
            <c:symbol val="none"/>
          </c:marker>
          <c:val>
            <c:numRef>
              <c:f>Sheet2!$D$19:$D$30</c:f>
              <c:numCache>
                <c:formatCode>"$"#,##0</c:formatCode>
                <c:ptCount val="12"/>
                <c:pt idx="0">
                  <c:v>5918.9021315718128</c:v>
                </c:pt>
                <c:pt idx="1">
                  <c:v>5918.9021315718128</c:v>
                </c:pt>
                <c:pt idx="2">
                  <c:v>5918.9021315718128</c:v>
                </c:pt>
                <c:pt idx="3">
                  <c:v>5918.9021315718128</c:v>
                </c:pt>
                <c:pt idx="4">
                  <c:v>5918.9021315718128</c:v>
                </c:pt>
                <c:pt idx="5">
                  <c:v>5918.9021315718128</c:v>
                </c:pt>
                <c:pt idx="6">
                  <c:v>5918.9021315718128</c:v>
                </c:pt>
                <c:pt idx="7">
                  <c:v>5918.9021315718128</c:v>
                </c:pt>
                <c:pt idx="8">
                  <c:v>5918.9021315718128</c:v>
                </c:pt>
                <c:pt idx="9">
                  <c:v>5918.9021315718128</c:v>
                </c:pt>
                <c:pt idx="10">
                  <c:v>5918.9021315718128</c:v>
                </c:pt>
                <c:pt idx="11">
                  <c:v>5918.9021315718128</c:v>
                </c:pt>
              </c:numCache>
            </c:numRef>
          </c:val>
          <c:smooth val="0"/>
          <c:extLst>
            <c:ext xmlns:c16="http://schemas.microsoft.com/office/drawing/2014/chart" uri="{C3380CC4-5D6E-409C-BE32-E72D297353CC}">
              <c16:uniqueId val="{00000003-1ADD-4A9C-A5AA-036DD1812D5A}"/>
            </c:ext>
          </c:extLst>
        </c:ser>
        <c:dLbls>
          <c:showLegendKey val="0"/>
          <c:showVal val="0"/>
          <c:showCatName val="0"/>
          <c:showSerName val="0"/>
          <c:showPercent val="0"/>
          <c:showBubbleSize val="0"/>
        </c:dLbls>
        <c:smooth val="0"/>
        <c:axId val="1937265064"/>
        <c:axId val="1269119560"/>
      </c:lineChart>
      <c:catAx>
        <c:axId val="1937265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119560"/>
        <c:crosses val="autoZero"/>
        <c:auto val="1"/>
        <c:lblAlgn val="ctr"/>
        <c:lblOffset val="100"/>
        <c:noMultiLvlLbl val="0"/>
      </c:catAx>
      <c:valAx>
        <c:axId val="1269119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26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4.0335716542012637E-2"/>
          <c:y val="0.14833303613413643"/>
          <c:w val="0.93579605458610449"/>
          <c:h val="0.75220998077968027"/>
        </c:manualLayout>
      </c:layout>
      <c:lineChart>
        <c:grouping val="standard"/>
        <c:varyColors val="0"/>
        <c:ser>
          <c:idx val="2"/>
          <c:order val="0"/>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B-0267-4D7D-AB62-D2005FCF1D7F}"/>
            </c:ext>
          </c:extLst>
        </c:ser>
        <c:ser>
          <c:idx val="3"/>
          <c:order val="1"/>
          <c:spPr>
            <a:ln w="22225" cap="rnd">
              <a:solidFill>
                <a:schemeClr val="accent4"/>
              </a:solidFill>
            </a:ln>
            <a:effectLst>
              <a:glow rad="139700">
                <a:schemeClr val="accent4">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C-0267-4D7D-AB62-D2005FCF1D7F}"/>
            </c:ext>
          </c:extLst>
        </c:ser>
        <c:ser>
          <c:idx val="4"/>
          <c:order val="2"/>
          <c:spPr>
            <a:ln w="22225" cap="rnd">
              <a:solidFill>
                <a:schemeClr val="accent5"/>
              </a:solidFill>
            </a:ln>
            <a:effectLst>
              <a:glow rad="139700">
                <a:schemeClr val="accent5">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D-0267-4D7D-AB62-D2005FCF1D7F}"/>
            </c:ext>
          </c:extLst>
        </c:ser>
        <c:ser>
          <c:idx val="5"/>
          <c:order val="3"/>
          <c:spPr>
            <a:ln w="22225" cap="rnd">
              <a:solidFill>
                <a:schemeClr val="accent6"/>
              </a:solidFill>
            </a:ln>
            <a:effectLst>
              <a:glow rad="139700">
                <a:schemeClr val="accent6">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E-0267-4D7D-AB62-D2005FCF1D7F}"/>
            </c:ext>
          </c:extLst>
        </c:ser>
        <c:ser>
          <c:idx val="0"/>
          <c:order val="4"/>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8-0267-4D7D-AB62-D2005FCF1D7F}"/>
            </c:ext>
          </c:extLst>
        </c:ser>
        <c:ser>
          <c:idx val="1"/>
          <c:order val="5"/>
          <c:spPr>
            <a:ln w="22225" cap="rnd">
              <a:solidFill>
                <a:schemeClr val="accent2"/>
              </a:solidFill>
            </a:ln>
            <a:effectLst>
              <a:glow rad="139700">
                <a:schemeClr val="accent2">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A-0267-4D7D-AB62-D2005FCF1D7F}"/>
            </c:ext>
          </c:extLst>
        </c:ser>
        <c:dLbls>
          <c:dLblPos val="t"/>
          <c:showLegendKey val="0"/>
          <c:showVal val="1"/>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showDLblsOverMax val="0"/>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406631637763846E-2"/>
          <c:y val="0.10723216715820501"/>
          <c:w val="0.93579605458610449"/>
          <c:h val="0.75220998077968027"/>
        </c:manualLayout>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LiabilitiesPrediction!$A$14:$A$25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LiabilitiesPrediction!$C$14:$C$25</c:f>
              <c:numCache>
                <c:formatCode>"$"#,##0</c:formatCode>
                <c:ptCount val="12"/>
                <c:pt idx="0">
                  <c:v>483.87454453526902</c:v>
                </c:pt>
                <c:pt idx="1">
                  <c:v>1309.612426558188</c:v>
                </c:pt>
                <c:pt idx="2">
                  <c:v>796.45863934215447</c:v>
                </c:pt>
                <c:pt idx="3">
                  <c:v>378.44541856987041</c:v>
                </c:pt>
                <c:pt idx="4">
                  <c:v>1204.1833005927892</c:v>
                </c:pt>
                <c:pt idx="5">
                  <c:v>691.02951337675574</c:v>
                </c:pt>
                <c:pt idx="6">
                  <c:v>273.01629260447169</c:v>
                </c:pt>
                <c:pt idx="7">
                  <c:v>1098.7541746273905</c:v>
                </c:pt>
                <c:pt idx="8">
                  <c:v>585.60038741135702</c:v>
                </c:pt>
                <c:pt idx="9">
                  <c:v>167.58716663907296</c:v>
                </c:pt>
                <c:pt idx="10">
                  <c:v>993.32504866199179</c:v>
                </c:pt>
                <c:pt idx="11">
                  <c:v>480.17126144595841</c:v>
                </c:pt>
              </c:numCache>
            </c:numRef>
          </c:val>
          <c:smooth val="0"/>
          <c:extLst>
            <c:ext xmlns:c16="http://schemas.microsoft.com/office/drawing/2014/chart" uri="{C3380CC4-5D6E-409C-BE32-E72D297353CC}">
              <c16:uniqueId val="{00000000-1D69-4E69-A00E-47585236ABEF}"/>
            </c:ext>
          </c:extLst>
        </c:ser>
        <c:ser>
          <c:idx val="1"/>
          <c:order val="1"/>
          <c:spPr>
            <a:ln w="22225" cap="rnd">
              <a:solidFill>
                <a:schemeClr val="accent2"/>
              </a:solidFill>
            </a:ln>
            <a:effectLst>
              <a:glow rad="139700">
                <a:schemeClr val="accent2">
                  <a:satMod val="175000"/>
                  <a:alpha val="14000"/>
                </a:schemeClr>
              </a:glow>
            </a:effectLst>
          </c:spPr>
          <c:marker>
            <c:symbol val="none"/>
          </c:marker>
          <c:dLbls>
            <c:delete val="1"/>
          </c:dLbls>
          <c:cat>
            <c:numRef>
              <c:f>LiabilitiesPrediction!$A$14:$A$25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LiabilitiesPrediction!$F$14:$F$25</c:f>
              <c:numCache>
                <c:formatCode>"$"#,##0</c:formatCode>
                <c:ptCount val="12"/>
                <c:pt idx="0">
                  <c:v>705.17151453043914</c:v>
                </c:pt>
                <c:pt idx="1">
                  <c:v>705.17151453043914</c:v>
                </c:pt>
                <c:pt idx="2">
                  <c:v>705.17151453043914</c:v>
                </c:pt>
                <c:pt idx="3">
                  <c:v>705.17151453043914</c:v>
                </c:pt>
                <c:pt idx="4">
                  <c:v>705.17151453043914</c:v>
                </c:pt>
                <c:pt idx="5">
                  <c:v>705.17151453043914</c:v>
                </c:pt>
                <c:pt idx="6">
                  <c:v>705.17151453043914</c:v>
                </c:pt>
                <c:pt idx="7">
                  <c:v>705.17151453043914</c:v>
                </c:pt>
                <c:pt idx="8">
                  <c:v>705.17151453043914</c:v>
                </c:pt>
                <c:pt idx="9">
                  <c:v>705.17151453043914</c:v>
                </c:pt>
                <c:pt idx="10">
                  <c:v>705.17151453043914</c:v>
                </c:pt>
                <c:pt idx="11">
                  <c:v>705.17151453043914</c:v>
                </c:pt>
              </c:numCache>
            </c:numRef>
          </c:val>
          <c:smooth val="0"/>
          <c:extLst>
            <c:ext xmlns:c16="http://schemas.microsoft.com/office/drawing/2014/chart" uri="{C3380CC4-5D6E-409C-BE32-E72D297353CC}">
              <c16:uniqueId val="{00000001-2C0F-4F6A-88E1-E6DC4B5E166E}"/>
            </c:ext>
          </c:extLst>
        </c:ser>
        <c:dLbls>
          <c:dLblPos val="t"/>
          <c:showLegendKey val="0"/>
          <c:showVal val="1"/>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sz="1800" b="1" i="0" baseline="0">
                <a:solidFill>
                  <a:schemeClr val="accent1"/>
                </a:solidFill>
                <a:effectLst/>
              </a:rPr>
              <a:t>PREDICTION</a:t>
            </a:r>
            <a:r>
              <a:rPr lang="en-SG" sz="1800" b="1" i="0" baseline="0">
                <a:effectLst/>
              </a:rPr>
              <a:t> VS </a:t>
            </a:r>
            <a:r>
              <a:rPr lang="en-SG" sz="1800" b="1" i="0" baseline="0">
                <a:solidFill>
                  <a:schemeClr val="accent2"/>
                </a:solidFill>
                <a:effectLst/>
              </a:rPr>
              <a:t>AVERAGE</a:t>
            </a:r>
            <a:endParaRPr lang="en-SG">
              <a:solidFill>
                <a:schemeClr val="accent2"/>
              </a:solidFill>
              <a:effectLst/>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Sheet2!$A$19:$A$30</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Sheet2!$B$19:$B$30</c:f>
              <c:numCache>
                <c:formatCode>"$"#,##0</c:formatCode>
                <c:ptCount val="12"/>
                <c:pt idx="0">
                  <c:v>4380.5827380762521</c:v>
                </c:pt>
                <c:pt idx="1">
                  <c:v>3174.6224771366792</c:v>
                </c:pt>
                <c:pt idx="2">
                  <c:v>2759.4945878775625</c:v>
                </c:pt>
                <c:pt idx="3">
                  <c:v>5072.9663533428111</c:v>
                </c:pt>
                <c:pt idx="4">
                  <c:v>6145.5292205423821</c:v>
                </c:pt>
                <c:pt idx="5">
                  <c:v>4336.9499563318732</c:v>
                </c:pt>
                <c:pt idx="6">
                  <c:v>8022.6130650758378</c:v>
                </c:pt>
                <c:pt idx="7">
                  <c:v>6817.4087635730284</c:v>
                </c:pt>
                <c:pt idx="8">
                  <c:v>7304.4882857013799</c:v>
                </c:pt>
                <c:pt idx="9">
                  <c:v>7253.0018112654634</c:v>
                </c:pt>
                <c:pt idx="10">
                  <c:v>6358.0760980019859</c:v>
                </c:pt>
                <c:pt idx="11">
                  <c:v>9401.092221936502</c:v>
                </c:pt>
              </c:numCache>
            </c:numRef>
          </c:val>
          <c:smooth val="0"/>
          <c:extLst>
            <c:ext xmlns:c16="http://schemas.microsoft.com/office/drawing/2014/chart" uri="{C3380CC4-5D6E-409C-BE32-E72D297353CC}">
              <c16:uniqueId val="{00000000-D2C3-4701-8065-9398DA8BF06B}"/>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Sheet2!$A$19:$A$30</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Sheet2!$D$19:$D$30</c:f>
              <c:numCache>
                <c:formatCode>"$"#,##0</c:formatCode>
                <c:ptCount val="12"/>
                <c:pt idx="0">
                  <c:v>5918.9021315718128</c:v>
                </c:pt>
                <c:pt idx="1">
                  <c:v>5918.9021315718128</c:v>
                </c:pt>
                <c:pt idx="2">
                  <c:v>5918.9021315718128</c:v>
                </c:pt>
                <c:pt idx="3">
                  <c:v>5918.9021315718128</c:v>
                </c:pt>
                <c:pt idx="4">
                  <c:v>5918.9021315718128</c:v>
                </c:pt>
                <c:pt idx="5">
                  <c:v>5918.9021315718128</c:v>
                </c:pt>
                <c:pt idx="6">
                  <c:v>5918.9021315718128</c:v>
                </c:pt>
                <c:pt idx="7">
                  <c:v>5918.9021315718128</c:v>
                </c:pt>
                <c:pt idx="8">
                  <c:v>5918.9021315718128</c:v>
                </c:pt>
                <c:pt idx="9">
                  <c:v>5918.9021315718128</c:v>
                </c:pt>
                <c:pt idx="10">
                  <c:v>5918.9021315718128</c:v>
                </c:pt>
                <c:pt idx="11">
                  <c:v>5918.9021315718128</c:v>
                </c:pt>
              </c:numCache>
            </c:numRef>
          </c:val>
          <c:smooth val="0"/>
          <c:extLst>
            <c:ext xmlns:c16="http://schemas.microsoft.com/office/drawing/2014/chart" uri="{C3380CC4-5D6E-409C-BE32-E72D297353CC}">
              <c16:uniqueId val="{00000004-8B2C-4B32-8F79-5C7D18B7946F}"/>
            </c:ext>
          </c:extLst>
        </c:ser>
        <c:dLbls>
          <c:showLegendKey val="0"/>
          <c:showVal val="0"/>
          <c:showCatName val="0"/>
          <c:showSerName val="0"/>
          <c:showPercent val="0"/>
          <c:showBubbleSize val="0"/>
        </c:dLbls>
        <c:smooth val="0"/>
        <c:axId val="1937265064"/>
        <c:axId val="1269119560"/>
      </c:lineChart>
      <c:dateAx>
        <c:axId val="1937265064"/>
        <c:scaling>
          <c:orientation val="minMax"/>
        </c:scaling>
        <c:delete val="0"/>
        <c:axPos val="b"/>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69119560"/>
        <c:crosses val="autoZero"/>
        <c:auto val="1"/>
        <c:lblOffset val="100"/>
        <c:baseTimeUnit val="months"/>
      </c:dateAx>
      <c:valAx>
        <c:axId val="12691195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7265064"/>
        <c:crosses val="autoZero"/>
        <c:crossBetween val="between"/>
      </c:valAx>
      <c:spPr>
        <a:noFill/>
        <a:ln w="25400">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Liabilities!A1"/><Relationship Id="rId7" Type="http://schemas.openxmlformats.org/officeDocument/2006/relationships/hyperlink" Target="#Forecasts!A1"/><Relationship Id="rId2" Type="http://schemas.openxmlformats.org/officeDocument/2006/relationships/hyperlink" Target="#Investments!A1"/><Relationship Id="rId1" Type="http://schemas.openxmlformats.org/officeDocument/2006/relationships/hyperlink" Target="#Assets!A1"/><Relationship Id="rId6" Type="http://schemas.openxmlformats.org/officeDocument/2006/relationships/hyperlink" Target="#Ledger!A1"/><Relationship Id="rId5" Type="http://schemas.openxmlformats.org/officeDocument/2006/relationships/hyperlink" Target="#CPF!A1"/><Relationship Id="rId10" Type="http://schemas.openxmlformats.org/officeDocument/2006/relationships/image" Target="../media/image3.png"/><Relationship Id="rId4" Type="http://schemas.openxmlformats.org/officeDocument/2006/relationships/hyperlink" Target="#Calculation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Calculations!A65"/><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hyperlink" Target="#Calculations!A45"/><Relationship Id="rId17" Type="http://schemas.openxmlformats.org/officeDocument/2006/relationships/hyperlink" Target="#Calculations!A113"/><Relationship Id="rId2" Type="http://schemas.openxmlformats.org/officeDocument/2006/relationships/hyperlink" Target="#Dashboard!A1"/><Relationship Id="rId16" Type="http://schemas.openxmlformats.org/officeDocument/2006/relationships/hyperlink" Target="#Calculations!A25"/><Relationship Id="rId1" Type="http://schemas.openxmlformats.org/officeDocument/2006/relationships/chart" Target="../charts/chart4.xml"/><Relationship Id="rId6" Type="http://schemas.openxmlformats.org/officeDocument/2006/relationships/chart" Target="../charts/chart8.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hyperlink" Target="#Calculations!A104"/><Relationship Id="rId10" Type="http://schemas.openxmlformats.org/officeDocument/2006/relationships/hyperlink" Target="#Calculations!A1"/><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hyperlink" Target="#Calculations!A85"/></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hyperlink" Target="#Dashboard!A1"/><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558800</xdr:colOff>
      <xdr:row>14</xdr:row>
      <xdr:rowOff>58420</xdr:rowOff>
    </xdr:from>
    <xdr:to>
      <xdr:col>16</xdr:col>
      <xdr:colOff>504190</xdr:colOff>
      <xdr:row>33</xdr:row>
      <xdr:rowOff>38100</xdr:rowOff>
    </xdr:to>
    <xdr:sp macro="" textlink="">
      <xdr:nvSpPr>
        <xdr:cNvPr id="26" name="TextBox 25">
          <a:extLst>
            <a:ext uri="{FF2B5EF4-FFF2-40B4-BE49-F238E27FC236}">
              <a16:creationId xmlns:a16="http://schemas.microsoft.com/office/drawing/2014/main" id="{86352528-7300-4189-904F-66B071BB57CE}"/>
            </a:ext>
          </a:extLst>
        </xdr:cNvPr>
        <xdr:cNvSpPr txBox="1"/>
      </xdr:nvSpPr>
      <xdr:spPr>
        <a:xfrm>
          <a:off x="558800" y="2618740"/>
          <a:ext cx="10118090" cy="3454400"/>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About Us</a:t>
          </a:r>
        </a:p>
      </xdr:txBody>
    </xdr:sp>
    <xdr:clientData/>
  </xdr:twoCellAnchor>
  <xdr:twoCellAnchor>
    <xdr:from>
      <xdr:col>1</xdr:col>
      <xdr:colOff>0</xdr:colOff>
      <xdr:row>4</xdr:row>
      <xdr:rowOff>86394</xdr:rowOff>
    </xdr:from>
    <xdr:to>
      <xdr:col>12</xdr:col>
      <xdr:colOff>237852</xdr:colOff>
      <xdr:row>6</xdr:row>
      <xdr:rowOff>2244</xdr:rowOff>
    </xdr:to>
    <xdr:grpSp>
      <xdr:nvGrpSpPr>
        <xdr:cNvPr id="2" name="Group 30">
          <a:extLst>
            <a:ext uri="{FF2B5EF4-FFF2-40B4-BE49-F238E27FC236}">
              <a16:creationId xmlns:a16="http://schemas.microsoft.com/office/drawing/2014/main" id="{C20DA4C6-3FBE-4F53-B831-950393D60FB8}"/>
            </a:ext>
          </a:extLst>
        </xdr:cNvPr>
        <xdr:cNvGrpSpPr/>
      </xdr:nvGrpSpPr>
      <xdr:grpSpPr>
        <a:xfrm>
          <a:off x="587375" y="816644"/>
          <a:ext cx="7492727" cy="280975"/>
          <a:chOff x="594360" y="817914"/>
          <a:chExt cx="7370172" cy="28161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94360" y="828074"/>
            <a:ext cx="968785" cy="270476"/>
          </a:xfrm>
          <a:prstGeom prst="roundRect">
            <a:avLst/>
          </a:prstGeom>
          <a:solidFill>
            <a:srgbClr val="FFCC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Assets</a:t>
            </a:r>
          </a:p>
        </xdr:txBody>
      </xdr:sp>
      <xdr:sp macro="" textlink="">
        <xdr:nvSpPr>
          <xdr:cNvPr id="8" name="Rectangle: Rounded Corner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2745325" y="828823"/>
            <a:ext cx="972892" cy="269206"/>
          </a:xfrm>
          <a:prstGeom prst="roundRect">
            <a:avLst/>
          </a:prstGeom>
          <a:solidFill>
            <a:schemeClr val="accent5">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t>Investments</a:t>
            </a:r>
          </a:p>
        </xdr:txBody>
      </xdr:sp>
      <xdr:sp macro="" textlink="">
        <xdr:nvSpPr>
          <xdr:cNvPr id="11" name="Rectangle: Rounded Corner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1670834" y="827553"/>
            <a:ext cx="964785" cy="271971"/>
          </a:xfrm>
          <a:prstGeom prst="roundRect">
            <a:avLst/>
          </a:prstGeom>
          <a:solidFill>
            <a:srgbClr val="FAA8F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Liabilities</a:t>
            </a:r>
          </a:p>
        </xdr:txBody>
      </xdr:sp>
      <xdr:sp macro="" textlink="">
        <xdr:nvSpPr>
          <xdr:cNvPr id="12" name="Rectangle: Rounded Corners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5956826" y="822994"/>
            <a:ext cx="969531" cy="261934"/>
          </a:xfrm>
          <a:prstGeom prst="roundRect">
            <a:avLst/>
          </a:prstGeom>
          <a:solidFill>
            <a:srgbClr val="8AE6C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Calculations</a:t>
            </a:r>
          </a:p>
        </xdr:txBody>
      </xdr:sp>
      <xdr:sp macro="" textlink="">
        <xdr:nvSpPr>
          <xdr:cNvPr id="13" name="Rectangle: Rounded Corners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4898825" y="820420"/>
            <a:ext cx="973303" cy="267464"/>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CPF</a:t>
            </a:r>
          </a:p>
        </xdr:txBody>
      </xdr:sp>
      <xdr:sp macro="" textlink="">
        <xdr:nvSpPr>
          <xdr:cNvPr id="14" name="Rectangle: Rounded Corners 8">
            <a:hlinkClick xmlns:r="http://schemas.openxmlformats.org/officeDocument/2006/relationships" r:id="rId6"/>
            <a:extLst>
              <a:ext uri="{FF2B5EF4-FFF2-40B4-BE49-F238E27FC236}">
                <a16:creationId xmlns:a16="http://schemas.microsoft.com/office/drawing/2014/main" id="{4B9C1FA6-623F-49DE-AD7C-276835985F0F}"/>
              </a:ext>
            </a:extLst>
          </xdr:cNvPr>
          <xdr:cNvSpPr/>
        </xdr:nvSpPr>
        <xdr:spPr>
          <a:xfrm>
            <a:off x="3794345" y="825013"/>
            <a:ext cx="999905" cy="266666"/>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Ledger</a:t>
            </a:r>
          </a:p>
        </xdr:txBody>
      </xdr:sp>
      <xdr:sp macro="" textlink="">
        <xdr:nvSpPr>
          <xdr:cNvPr id="15" name="Rectangle: Rounded Corners 9">
            <a:hlinkClick xmlns:r="http://schemas.openxmlformats.org/officeDocument/2006/relationships" r:id="rId7"/>
            <a:extLst>
              <a:ext uri="{FF2B5EF4-FFF2-40B4-BE49-F238E27FC236}">
                <a16:creationId xmlns:a16="http://schemas.microsoft.com/office/drawing/2014/main" id="{BB09163B-68F8-4615-8BCA-950BEDB3C355}"/>
              </a:ext>
            </a:extLst>
          </xdr:cNvPr>
          <xdr:cNvSpPr/>
        </xdr:nvSpPr>
        <xdr:spPr>
          <a:xfrm>
            <a:off x="7005846" y="817914"/>
            <a:ext cx="958686" cy="267014"/>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Forecasts</a:t>
            </a:r>
          </a:p>
        </xdr:txBody>
      </xdr:sp>
    </xdr:grpSp>
    <xdr:clientData/>
  </xdr:twoCellAnchor>
  <xdr:twoCellAnchor>
    <xdr:from>
      <xdr:col>0</xdr:col>
      <xdr:colOff>557530</xdr:colOff>
      <xdr:row>7</xdr:row>
      <xdr:rowOff>62230</xdr:rowOff>
    </xdr:from>
    <xdr:to>
      <xdr:col>16</xdr:col>
      <xdr:colOff>518160</xdr:colOff>
      <xdr:row>12</xdr:row>
      <xdr:rowOff>176530</xdr:rowOff>
    </xdr:to>
    <xdr:sp macro="" textlink="">
      <xdr:nvSpPr>
        <xdr:cNvPr id="23" name="TextBox 22">
          <a:extLst>
            <a:ext uri="{FF2B5EF4-FFF2-40B4-BE49-F238E27FC236}">
              <a16:creationId xmlns:a16="http://schemas.microsoft.com/office/drawing/2014/main" id="{9387DB7B-8EF3-4B72-ACEE-E4717BE0FD07}"/>
            </a:ext>
          </a:extLst>
        </xdr:cNvPr>
        <xdr:cNvSpPr txBox="1"/>
      </xdr:nvSpPr>
      <xdr:spPr>
        <a:xfrm>
          <a:off x="557530" y="1342390"/>
          <a:ext cx="10133330" cy="1028700"/>
        </a:xfrm>
        <a:prstGeom prst="round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400" b="1">
              <a:solidFill>
                <a:sysClr val="windowText" lastClr="000000"/>
              </a:solidFill>
            </a:rPr>
            <a:t>Hello! Welcome to Fynancer.</a:t>
          </a:r>
        </a:p>
        <a:p>
          <a:pPr algn="ctr"/>
          <a:r>
            <a:rPr lang="en-SG" sz="1400" b="0">
              <a:solidFill>
                <a:sysClr val="windowText" lastClr="000000"/>
              </a:solidFill>
            </a:rPr>
            <a:t>You</a:t>
          </a:r>
          <a:r>
            <a:rPr lang="en-SG" sz="1400" b="0" baseline="0">
              <a:solidFill>
                <a:sysClr val="windowText" lastClr="000000"/>
              </a:solidFill>
            </a:rPr>
            <a:t> can start tracking your finances by clicking on one of the navigation bars or sheets.</a:t>
          </a:r>
          <a:endParaRPr lang="en-SG" sz="1400" b="0">
            <a:solidFill>
              <a:sysClr val="windowText" lastClr="000000"/>
            </a:solidFill>
          </a:endParaRPr>
        </a:p>
      </xdr:txBody>
    </xdr:sp>
    <xdr:clientData/>
  </xdr:twoCellAnchor>
  <xdr:twoCellAnchor>
    <xdr:from>
      <xdr:col>1</xdr:col>
      <xdr:colOff>172721</xdr:colOff>
      <xdr:row>17</xdr:row>
      <xdr:rowOff>75901</xdr:rowOff>
    </xdr:from>
    <xdr:to>
      <xdr:col>16</xdr:col>
      <xdr:colOff>330459</xdr:colOff>
      <xdr:row>32</xdr:row>
      <xdr:rowOff>25908</xdr:rowOff>
    </xdr:to>
    <xdr:grpSp>
      <xdr:nvGrpSpPr>
        <xdr:cNvPr id="28" name="Group 32">
          <a:extLst>
            <a:ext uri="{FF2B5EF4-FFF2-40B4-BE49-F238E27FC236}">
              <a16:creationId xmlns:a16="http://schemas.microsoft.com/office/drawing/2014/main" id="{E0764754-9126-4AD7-948F-339EE6E5A0D0}"/>
            </a:ext>
          </a:extLst>
        </xdr:cNvPr>
        <xdr:cNvGrpSpPr/>
      </xdr:nvGrpSpPr>
      <xdr:grpSpPr>
        <a:xfrm>
          <a:off x="760096" y="3179464"/>
          <a:ext cx="9833551" cy="2688444"/>
          <a:chOff x="772161" y="3184861"/>
          <a:chExt cx="9713218" cy="2691937"/>
        </a:xfrm>
      </xdr:grpSpPr>
      <xdr:pic>
        <xdr:nvPicPr>
          <xdr:cNvPr id="36" name="Picture 29">
            <a:extLst>
              <a:ext uri="{FF2B5EF4-FFF2-40B4-BE49-F238E27FC236}">
                <a16:creationId xmlns:a16="http://schemas.microsoft.com/office/drawing/2014/main" id="{CE0FEA7A-F9A0-4F34-BB1A-14C8D20C2325}"/>
              </a:ext>
            </a:extLst>
          </xdr:cNvPr>
          <xdr:cNvPicPr>
            <a:picLocks noChangeAspect="1"/>
          </xdr:cNvPicPr>
        </xdr:nvPicPr>
        <xdr:blipFill>
          <a:blip xmlns:r="http://schemas.openxmlformats.org/officeDocument/2006/relationships" r:embed="rId8"/>
          <a:stretch>
            <a:fillRect/>
          </a:stretch>
        </xdr:blipFill>
        <xdr:spPr>
          <a:xfrm>
            <a:off x="772161" y="3184861"/>
            <a:ext cx="4730749" cy="2691937"/>
          </a:xfrm>
          <a:prstGeom prst="roundRect">
            <a:avLst>
              <a:gd name="adj" fmla="val 8450"/>
            </a:avLst>
          </a:prstGeom>
        </xdr:spPr>
      </xdr:pic>
      <xdr:pic>
        <xdr:nvPicPr>
          <xdr:cNvPr id="37" name="Picture 28">
            <a:extLst>
              <a:ext uri="{FF2B5EF4-FFF2-40B4-BE49-F238E27FC236}">
                <a16:creationId xmlns:a16="http://schemas.microsoft.com/office/drawing/2014/main" id="{343EF00F-F2EC-4A48-97F7-22FA291D634C}"/>
              </a:ext>
            </a:extLst>
          </xdr:cNvPr>
          <xdr:cNvPicPr>
            <a:picLocks noChangeAspect="1"/>
          </xdr:cNvPicPr>
        </xdr:nvPicPr>
        <xdr:blipFill>
          <a:blip xmlns:r="http://schemas.openxmlformats.org/officeDocument/2006/relationships" r:embed="rId9"/>
          <a:stretch>
            <a:fillRect/>
          </a:stretch>
        </xdr:blipFill>
        <xdr:spPr>
          <a:xfrm>
            <a:off x="5766143" y="3201686"/>
            <a:ext cx="4719236" cy="2653030"/>
          </a:xfrm>
          <a:prstGeom prst="roundRect">
            <a:avLst>
              <a:gd name="adj" fmla="val 7767"/>
            </a:avLst>
          </a:prstGeom>
        </xdr:spPr>
      </xdr:pic>
    </xdr:grpSp>
    <xdr:clientData/>
  </xdr:twoCellAnchor>
  <xdr:twoCellAnchor>
    <xdr:from>
      <xdr:col>0</xdr:col>
      <xdr:colOff>553720</xdr:colOff>
      <xdr:row>34</xdr:row>
      <xdr:rowOff>138431</xdr:rowOff>
    </xdr:from>
    <xdr:to>
      <xdr:col>16</xdr:col>
      <xdr:colOff>508000</xdr:colOff>
      <xdr:row>46</xdr:row>
      <xdr:rowOff>134939</xdr:rowOff>
    </xdr:to>
    <xdr:sp macro="" textlink="">
      <xdr:nvSpPr>
        <xdr:cNvPr id="32" name="TextBox 31">
          <a:extLst>
            <a:ext uri="{FF2B5EF4-FFF2-40B4-BE49-F238E27FC236}">
              <a16:creationId xmlns:a16="http://schemas.microsoft.com/office/drawing/2014/main" id="{314F3828-57D3-4581-B538-AB5BE10A74EF}"/>
            </a:ext>
          </a:extLst>
        </xdr:cNvPr>
        <xdr:cNvSpPr txBox="1"/>
      </xdr:nvSpPr>
      <xdr:spPr>
        <a:xfrm>
          <a:off x="553720" y="6345556"/>
          <a:ext cx="10217468" cy="2187258"/>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This Project was done by:</a:t>
          </a:r>
        </a:p>
      </xdr:txBody>
    </xdr:sp>
    <xdr:clientData/>
  </xdr:twoCellAnchor>
  <xdr:twoCellAnchor>
    <xdr:from>
      <xdr:col>3</xdr:col>
      <xdr:colOff>456862</xdr:colOff>
      <xdr:row>37</xdr:row>
      <xdr:rowOff>154657</xdr:rowOff>
    </xdr:from>
    <xdr:to>
      <xdr:col>13</xdr:col>
      <xdr:colOff>504641</xdr:colOff>
      <xdr:row>45</xdr:row>
      <xdr:rowOff>1268</xdr:rowOff>
    </xdr:to>
    <xdr:grpSp>
      <xdr:nvGrpSpPr>
        <xdr:cNvPr id="4" name="Group 3">
          <a:extLst>
            <a:ext uri="{FF2B5EF4-FFF2-40B4-BE49-F238E27FC236}">
              <a16:creationId xmlns:a16="http://schemas.microsoft.com/office/drawing/2014/main" id="{67C9B6BF-E879-426A-99E3-56D8D41EAC57}"/>
            </a:ext>
          </a:extLst>
        </xdr:cNvPr>
        <xdr:cNvGrpSpPr/>
      </xdr:nvGrpSpPr>
      <xdr:grpSpPr>
        <a:xfrm>
          <a:off x="2218987" y="6909470"/>
          <a:ext cx="6715279" cy="1307111"/>
          <a:chOff x="2123736" y="7044408"/>
          <a:chExt cx="6715279" cy="1307111"/>
        </a:xfrm>
      </xdr:grpSpPr>
      <xdr:grpSp>
        <xdr:nvGrpSpPr>
          <xdr:cNvPr id="7" name="Group 37">
            <a:extLst>
              <a:ext uri="{FF2B5EF4-FFF2-40B4-BE49-F238E27FC236}">
                <a16:creationId xmlns:a16="http://schemas.microsoft.com/office/drawing/2014/main" id="{DCE85E0E-49EA-4BD6-B3CA-D1405E5DF84C}"/>
              </a:ext>
            </a:extLst>
          </xdr:cNvPr>
          <xdr:cNvGrpSpPr/>
        </xdr:nvGrpSpPr>
        <xdr:grpSpPr>
          <a:xfrm>
            <a:off x="4080916" y="7081579"/>
            <a:ext cx="940433" cy="1226286"/>
            <a:chOff x="1208614" y="7160934"/>
            <a:chExt cx="1235556" cy="1609686"/>
          </a:xfrm>
        </xdr:grpSpPr>
        <xdr:pic>
          <xdr:nvPicPr>
            <xdr:cNvPr id="9" name="Picture 33">
              <a:extLst>
                <a:ext uri="{FF2B5EF4-FFF2-40B4-BE49-F238E27FC236}">
                  <a16:creationId xmlns:a16="http://schemas.microsoft.com/office/drawing/2014/main" id="{94435CA0-66AE-460B-8A6A-9D8A6DE0C3D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503" r="1503"/>
            <a:stretch/>
          </xdr:blipFill>
          <xdr:spPr>
            <a:xfrm>
              <a:off x="1208614" y="7160934"/>
              <a:ext cx="1235556" cy="1245941"/>
            </a:xfrm>
            <a:prstGeom prst="ellipse">
              <a:avLst/>
            </a:prstGeom>
          </xdr:spPr>
        </xdr:pic>
        <xdr:sp macro="" textlink="">
          <xdr:nvSpPr>
            <xdr:cNvPr id="10" name="TextBox 34">
              <a:extLst>
                <a:ext uri="{FF2B5EF4-FFF2-40B4-BE49-F238E27FC236}">
                  <a16:creationId xmlns:a16="http://schemas.microsoft.com/office/drawing/2014/main" id="{D09E56DD-E0AA-4DCE-A22F-7FA7DD522D8B}"/>
                </a:ext>
              </a:extLst>
            </xdr:cNvPr>
            <xdr:cNvSpPr txBox="1"/>
          </xdr:nvSpPr>
          <xdr:spPr>
            <a:xfrm>
              <a:off x="1247693" y="8473198"/>
              <a:ext cx="1159588"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Alexander</a:t>
              </a:r>
              <a:endParaRPr lang="en-SG" sz="1000" b="1"/>
            </a:p>
          </xdr:txBody>
        </xdr:sp>
      </xdr:grpSp>
      <xdr:grpSp>
        <xdr:nvGrpSpPr>
          <xdr:cNvPr id="16" name="Group 38">
            <a:extLst>
              <a:ext uri="{FF2B5EF4-FFF2-40B4-BE49-F238E27FC236}">
                <a16:creationId xmlns:a16="http://schemas.microsoft.com/office/drawing/2014/main" id="{CA22BF3A-4AF6-4E99-9F1F-E742F7F4257E}"/>
              </a:ext>
            </a:extLst>
          </xdr:cNvPr>
          <xdr:cNvGrpSpPr/>
        </xdr:nvGrpSpPr>
        <xdr:grpSpPr>
          <a:xfrm>
            <a:off x="2123736" y="7044408"/>
            <a:ext cx="950802" cy="1245548"/>
            <a:chOff x="1211846" y="7160934"/>
            <a:chExt cx="1229093" cy="1609686"/>
          </a:xfrm>
        </xdr:grpSpPr>
        <xdr:pic>
          <xdr:nvPicPr>
            <xdr:cNvPr id="17" name="Picture 39">
              <a:extLst>
                <a:ext uri="{FF2B5EF4-FFF2-40B4-BE49-F238E27FC236}">
                  <a16:creationId xmlns:a16="http://schemas.microsoft.com/office/drawing/2014/main" id="{A7435369-692D-4F99-A6EF-4EAB911A683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162" r="1162"/>
            <a:stretch/>
          </xdr:blipFill>
          <xdr:spPr>
            <a:xfrm>
              <a:off x="1211846" y="7160934"/>
              <a:ext cx="1229093" cy="1245941"/>
            </a:xfrm>
            <a:prstGeom prst="ellipse">
              <a:avLst/>
            </a:prstGeom>
          </xdr:spPr>
        </xdr:pic>
        <xdr:sp macro="" textlink="">
          <xdr:nvSpPr>
            <xdr:cNvPr id="18" name="TextBox 40">
              <a:extLst>
                <a:ext uri="{FF2B5EF4-FFF2-40B4-BE49-F238E27FC236}">
                  <a16:creationId xmlns:a16="http://schemas.microsoft.com/office/drawing/2014/main" id="{667F7984-8843-46C3-9E28-8B68750D3945}"/>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Balqis</a:t>
              </a:r>
              <a:endParaRPr lang="en-SG" sz="1000" b="1"/>
            </a:p>
          </xdr:txBody>
        </xdr:sp>
      </xdr:grpSp>
      <xdr:grpSp>
        <xdr:nvGrpSpPr>
          <xdr:cNvPr id="19" name="Group 41">
            <a:extLst>
              <a:ext uri="{FF2B5EF4-FFF2-40B4-BE49-F238E27FC236}">
                <a16:creationId xmlns:a16="http://schemas.microsoft.com/office/drawing/2014/main" id="{23D94D22-6D03-418B-A846-986DD735D981}"/>
              </a:ext>
            </a:extLst>
          </xdr:cNvPr>
          <xdr:cNvGrpSpPr/>
        </xdr:nvGrpSpPr>
        <xdr:grpSpPr>
          <a:xfrm>
            <a:off x="6049911" y="7083165"/>
            <a:ext cx="927288" cy="1243518"/>
            <a:chOff x="1211846" y="7160934"/>
            <a:chExt cx="1229093" cy="1609686"/>
          </a:xfrm>
        </xdr:grpSpPr>
        <xdr:pic>
          <xdr:nvPicPr>
            <xdr:cNvPr id="20" name="Picture 42">
              <a:extLst>
                <a:ext uri="{FF2B5EF4-FFF2-40B4-BE49-F238E27FC236}">
                  <a16:creationId xmlns:a16="http://schemas.microsoft.com/office/drawing/2014/main" id="{C771F9C8-8500-426B-B141-855E9BE0A15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562" r="562"/>
            <a:stretch/>
          </xdr:blipFill>
          <xdr:spPr>
            <a:xfrm>
              <a:off x="1211846" y="7160934"/>
              <a:ext cx="1229093" cy="1245941"/>
            </a:xfrm>
            <a:prstGeom prst="ellipse">
              <a:avLst/>
            </a:prstGeom>
          </xdr:spPr>
        </xdr:pic>
        <xdr:sp macro="" textlink="">
          <xdr:nvSpPr>
            <xdr:cNvPr id="21" name="TextBox 43">
              <a:extLst>
                <a:ext uri="{FF2B5EF4-FFF2-40B4-BE49-F238E27FC236}">
                  <a16:creationId xmlns:a16="http://schemas.microsoft.com/office/drawing/2014/main" id="{1C07EBD2-3376-433A-AC5D-EEC9FA6B5B94}"/>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Lincoln</a:t>
              </a:r>
              <a:endParaRPr lang="en-SG" sz="1000" b="1"/>
            </a:p>
          </xdr:txBody>
        </xdr:sp>
      </xdr:grpSp>
      <xdr:grpSp>
        <xdr:nvGrpSpPr>
          <xdr:cNvPr id="22" name="Group 44">
            <a:extLst>
              <a:ext uri="{FF2B5EF4-FFF2-40B4-BE49-F238E27FC236}">
                <a16:creationId xmlns:a16="http://schemas.microsoft.com/office/drawing/2014/main" id="{316DAB3B-6244-4CE7-BADF-BE1B825C64CF}"/>
              </a:ext>
            </a:extLst>
          </xdr:cNvPr>
          <xdr:cNvGrpSpPr/>
        </xdr:nvGrpSpPr>
        <xdr:grpSpPr>
          <a:xfrm>
            <a:off x="7894433" y="7062159"/>
            <a:ext cx="944582" cy="1289360"/>
            <a:chOff x="1211846" y="7160934"/>
            <a:chExt cx="1229093" cy="1664015"/>
          </a:xfrm>
        </xdr:grpSpPr>
        <xdr:pic>
          <xdr:nvPicPr>
            <xdr:cNvPr id="24" name="Picture 45">
              <a:extLst>
                <a:ext uri="{FF2B5EF4-FFF2-40B4-BE49-F238E27FC236}">
                  <a16:creationId xmlns:a16="http://schemas.microsoft.com/office/drawing/2014/main" id="{133069F8-86F5-43A6-A512-AB90BDE0DB2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418" r="418"/>
            <a:stretch/>
          </xdr:blipFill>
          <xdr:spPr>
            <a:xfrm>
              <a:off x="1211846" y="7160934"/>
              <a:ext cx="1229093" cy="1245941"/>
            </a:xfrm>
            <a:prstGeom prst="ellipse">
              <a:avLst/>
            </a:prstGeom>
          </xdr:spPr>
        </xdr:pic>
        <xdr:sp macro="" textlink="">
          <xdr:nvSpPr>
            <xdr:cNvPr id="25" name="TextBox 46">
              <a:extLst>
                <a:ext uri="{FF2B5EF4-FFF2-40B4-BE49-F238E27FC236}">
                  <a16:creationId xmlns:a16="http://schemas.microsoft.com/office/drawing/2014/main" id="{F4E798F7-6C8F-4815-AE8B-95BD6C85FF3C}"/>
                </a:ext>
              </a:extLst>
            </xdr:cNvPr>
            <xdr:cNvSpPr txBox="1"/>
          </xdr:nvSpPr>
          <xdr:spPr>
            <a:xfrm>
              <a:off x="1271467" y="8475733"/>
              <a:ext cx="1162559" cy="34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Tung Xuan</a:t>
              </a:r>
              <a:endParaRPr lang="en-SG" sz="1000" b="1"/>
            </a:p>
          </xdr:txBody>
        </xdr:sp>
      </xdr:grpSp>
    </xdr:grpSp>
    <xdr:clientData/>
  </xdr:twoCellAnchor>
  <xdr:twoCellAnchor>
    <xdr:from>
      <xdr:col>14</xdr:col>
      <xdr:colOff>205740</xdr:colOff>
      <xdr:row>3</xdr:row>
      <xdr:rowOff>180340</xdr:rowOff>
    </xdr:from>
    <xdr:to>
      <xdr:col>16</xdr:col>
      <xdr:colOff>501650</xdr:colOff>
      <xdr:row>6</xdr:row>
      <xdr:rowOff>74930</xdr:rowOff>
    </xdr:to>
    <xdr:sp macro="[0]!AllPDF" textlink="">
      <xdr:nvSpPr>
        <xdr:cNvPr id="30" name="Rectangle: Rounded Corners 29">
          <a:extLst>
            <a:ext uri="{FF2B5EF4-FFF2-40B4-BE49-F238E27FC236}">
              <a16:creationId xmlns:a16="http://schemas.microsoft.com/office/drawing/2014/main" id="{382CA400-57FA-4A98-8000-820B631C9D4B}"/>
            </a:ext>
          </a:extLst>
        </xdr:cNvPr>
        <xdr:cNvSpPr/>
      </xdr:nvSpPr>
      <xdr:spPr>
        <a:xfrm>
          <a:off x="9121140" y="728980"/>
          <a:ext cx="1553210" cy="44323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 (All)</a:t>
          </a:r>
        </a:p>
      </xdr:txBody>
    </xdr:sp>
    <xdr:clientData/>
  </xdr:twoCellAnchor>
  <xdr:twoCellAnchor>
    <xdr:from>
      <xdr:col>17</xdr:col>
      <xdr:colOff>66040</xdr:colOff>
      <xdr:row>3</xdr:row>
      <xdr:rowOff>151131</xdr:rowOff>
    </xdr:from>
    <xdr:to>
      <xdr:col>18</xdr:col>
      <xdr:colOff>444785</xdr:colOff>
      <xdr:row>7</xdr:row>
      <xdr:rowOff>71121</xdr:rowOff>
    </xdr:to>
    <xdr:sp macro="" textlink="">
      <xdr:nvSpPr>
        <xdr:cNvPr id="31" name="Speech Bubble: Rectangle with Corners Rounded 30">
          <a:extLst>
            <a:ext uri="{FF2B5EF4-FFF2-40B4-BE49-F238E27FC236}">
              <a16:creationId xmlns:a16="http://schemas.microsoft.com/office/drawing/2014/main" id="{48F2C838-A710-4EC9-9B29-3B4C08C70F7E}"/>
            </a:ext>
          </a:extLst>
        </xdr:cNvPr>
        <xdr:cNvSpPr/>
      </xdr:nvSpPr>
      <xdr:spPr>
        <a:xfrm>
          <a:off x="10993120" y="699771"/>
          <a:ext cx="973105"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Alex</a:t>
          </a:r>
          <a:endParaRPr lang="en-SG" sz="12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279400</xdr:colOff>
      <xdr:row>1</xdr:row>
      <xdr:rowOff>63500</xdr:rowOff>
    </xdr:from>
    <xdr:to>
      <xdr:col>12</xdr:col>
      <xdr:colOff>590550</xdr:colOff>
      <xdr:row>3</xdr:row>
      <xdr:rowOff>133350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9883E35-3694-44E2-BAD5-82A65F0D1307}"/>
            </a:ext>
          </a:extLst>
        </xdr:cNvPr>
        <xdr:cNvSpPr/>
      </xdr:nvSpPr>
      <xdr:spPr>
        <a:xfrm>
          <a:off x="9702800" y="247650"/>
          <a:ext cx="15303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393700</xdr:colOff>
      <xdr:row>4</xdr:row>
      <xdr:rowOff>139700</xdr:rowOff>
    </xdr:from>
    <xdr:to>
      <xdr:col>8</xdr:col>
      <xdr:colOff>1022350</xdr:colOff>
      <xdr:row>5</xdr:row>
      <xdr:rowOff>156210</xdr:rowOff>
    </xdr:to>
    <xdr:sp macro="[0]!Add_InvestmentAsset" textlink="">
      <xdr:nvSpPr>
        <xdr:cNvPr id="5" name="Rectangle: Rounded Corners 8">
          <a:extLst>
            <a:ext uri="{FF2B5EF4-FFF2-40B4-BE49-F238E27FC236}">
              <a16:creationId xmlns:a16="http://schemas.microsoft.com/office/drawing/2014/main" id="{43156B59-164C-4FFA-A584-B307A6DACE23}"/>
            </a:ext>
          </a:extLst>
        </xdr:cNvPr>
        <xdr:cNvSpPr/>
      </xdr:nvSpPr>
      <xdr:spPr>
        <a:xfrm>
          <a:off x="7162800" y="889000"/>
          <a:ext cx="1035050" cy="32131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10</xdr:col>
      <xdr:colOff>704850</xdr:colOff>
      <xdr:row>4</xdr:row>
      <xdr:rowOff>120650</xdr:rowOff>
    </xdr:from>
    <xdr:to>
      <xdr:col>11</xdr:col>
      <xdr:colOff>1062990</xdr:colOff>
      <xdr:row>5</xdr:row>
      <xdr:rowOff>149860</xdr:rowOff>
    </xdr:to>
    <xdr:sp macro="[0]!Add_OtherAsset" textlink="">
      <xdr:nvSpPr>
        <xdr:cNvPr id="6" name="Rectangle: Rounded Corners 8">
          <a:extLst>
            <a:ext uri="{FF2B5EF4-FFF2-40B4-BE49-F238E27FC236}">
              <a16:creationId xmlns:a16="http://schemas.microsoft.com/office/drawing/2014/main" id="{1AECDACF-F4E3-4061-AD4A-A815593E7BF1}"/>
            </a:ext>
          </a:extLst>
        </xdr:cNvPr>
        <xdr:cNvSpPr/>
      </xdr:nvSpPr>
      <xdr:spPr>
        <a:xfrm>
          <a:off x="9702800" y="869950"/>
          <a:ext cx="1082040" cy="33401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1244600</xdr:colOff>
      <xdr:row>4</xdr:row>
      <xdr:rowOff>114300</xdr:rowOff>
    </xdr:from>
    <xdr:to>
      <xdr:col>4</xdr:col>
      <xdr:colOff>27940</xdr:colOff>
      <xdr:row>5</xdr:row>
      <xdr:rowOff>138430</xdr:rowOff>
    </xdr:to>
    <xdr:sp macro="[0]!Clear_SalaryAsset" textlink="">
      <xdr:nvSpPr>
        <xdr:cNvPr id="7" name="Rectangle: Rounded Corners 6">
          <a:extLst>
            <a:ext uri="{FF2B5EF4-FFF2-40B4-BE49-F238E27FC236}">
              <a16:creationId xmlns:a16="http://schemas.microsoft.com/office/drawing/2014/main" id="{CEB51742-E00A-4F98-81C2-894D9BB619D8}"/>
            </a:ext>
            <a:ext uri="{147F2762-F138-4A5C-976F-8EAC2B608ADB}">
              <a16:predDERef xmlns:a16="http://schemas.microsoft.com/office/drawing/2014/main" pred="{00000000-0008-0000-0200-000002000000}"/>
            </a:ext>
          </a:extLst>
        </xdr:cNvPr>
        <xdr:cNvSpPr/>
      </xdr:nvSpPr>
      <xdr:spPr>
        <a:xfrm>
          <a:off x="3689350" y="863600"/>
          <a:ext cx="681990" cy="328930"/>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2</xdr:col>
      <xdr:colOff>7936</xdr:colOff>
      <xdr:row>4</xdr:row>
      <xdr:rowOff>114300</xdr:rowOff>
    </xdr:from>
    <xdr:to>
      <xdr:col>2</xdr:col>
      <xdr:colOff>1075689</xdr:colOff>
      <xdr:row>5</xdr:row>
      <xdr:rowOff>137160</xdr:rowOff>
    </xdr:to>
    <xdr:sp macro="[0]!Add_SalaryAsset" textlink="">
      <xdr:nvSpPr>
        <xdr:cNvPr id="9" name="Rectangle: Rounded Corners 8">
          <a:extLst>
            <a:ext uri="{FF2B5EF4-FFF2-40B4-BE49-F238E27FC236}">
              <a16:creationId xmlns:a16="http://schemas.microsoft.com/office/drawing/2014/main" id="{3444C652-338D-49AF-9C2A-7B605C6D0CD7}"/>
            </a:ext>
          </a:extLst>
        </xdr:cNvPr>
        <xdr:cNvSpPr/>
      </xdr:nvSpPr>
      <xdr:spPr>
        <a:xfrm>
          <a:off x="2984499" y="860425"/>
          <a:ext cx="1067753" cy="324485"/>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1231900</xdr:colOff>
      <xdr:row>4</xdr:row>
      <xdr:rowOff>133350</xdr:rowOff>
    </xdr:from>
    <xdr:to>
      <xdr:col>6</xdr:col>
      <xdr:colOff>584200</xdr:colOff>
      <xdr:row>5</xdr:row>
      <xdr:rowOff>144780</xdr:rowOff>
    </xdr:to>
    <xdr:sp macro="[0]!Clear_SubsidyAsset" textlink="">
      <xdr:nvSpPr>
        <xdr:cNvPr id="10" name="Rectangle: Rounded Corners 9">
          <a:extLst>
            <a:ext uri="{FF2B5EF4-FFF2-40B4-BE49-F238E27FC236}">
              <a16:creationId xmlns:a16="http://schemas.microsoft.com/office/drawing/2014/main" id="{5C391029-DC06-4C43-8B3E-B40E82BEB895}"/>
            </a:ext>
            <a:ext uri="{147F2762-F138-4A5C-976F-8EAC2B608ADB}">
              <a16:predDERef xmlns:a16="http://schemas.microsoft.com/office/drawing/2014/main" pred="{00000000-0008-0000-0200-000002000000}"/>
            </a:ext>
          </a:extLst>
        </xdr:cNvPr>
        <xdr:cNvSpPr/>
      </xdr:nvSpPr>
      <xdr:spPr>
        <a:xfrm>
          <a:off x="6013450" y="882650"/>
          <a:ext cx="730250" cy="31623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0</xdr:colOff>
      <xdr:row>4</xdr:row>
      <xdr:rowOff>127000</xdr:rowOff>
    </xdr:from>
    <xdr:to>
      <xdr:col>5</xdr:col>
      <xdr:colOff>1088390</xdr:colOff>
      <xdr:row>5</xdr:row>
      <xdr:rowOff>149860</xdr:rowOff>
    </xdr:to>
    <xdr:sp macro="[0]!Add_SubsidyAsset" textlink="">
      <xdr:nvSpPr>
        <xdr:cNvPr id="11" name="Rectangle: Rounded Corners 10">
          <a:extLst>
            <a:ext uri="{FF2B5EF4-FFF2-40B4-BE49-F238E27FC236}">
              <a16:creationId xmlns:a16="http://schemas.microsoft.com/office/drawing/2014/main" id="{2AD6F764-1163-49E7-AA00-7A89575E74B7}"/>
            </a:ext>
          </a:extLst>
        </xdr:cNvPr>
        <xdr:cNvSpPr/>
      </xdr:nvSpPr>
      <xdr:spPr>
        <a:xfrm>
          <a:off x="4781550" y="876300"/>
          <a:ext cx="1088390" cy="32766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1104900</xdr:colOff>
      <xdr:row>4</xdr:row>
      <xdr:rowOff>139700</xdr:rowOff>
    </xdr:from>
    <xdr:to>
      <xdr:col>10</xdr:col>
      <xdr:colOff>12700</xdr:colOff>
      <xdr:row>5</xdr:row>
      <xdr:rowOff>151130</xdr:rowOff>
    </xdr:to>
    <xdr:sp macro="[0]!Clear_InvestmentAsset" textlink="">
      <xdr:nvSpPr>
        <xdr:cNvPr id="12" name="Rectangle: Rounded Corners 11">
          <a:extLst>
            <a:ext uri="{FF2B5EF4-FFF2-40B4-BE49-F238E27FC236}">
              <a16:creationId xmlns:a16="http://schemas.microsoft.com/office/drawing/2014/main" id="{B483FF37-D7D4-4904-B6E0-F07E0EF1765D}"/>
            </a:ext>
            <a:ext uri="{147F2762-F138-4A5C-976F-8EAC2B608ADB}">
              <a16:predDERef xmlns:a16="http://schemas.microsoft.com/office/drawing/2014/main" pred="{00000000-0008-0000-0200-000002000000}"/>
            </a:ext>
          </a:extLst>
        </xdr:cNvPr>
        <xdr:cNvSpPr/>
      </xdr:nvSpPr>
      <xdr:spPr>
        <a:xfrm>
          <a:off x="8280400" y="889000"/>
          <a:ext cx="730250" cy="31623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1104900</xdr:colOff>
      <xdr:row>4</xdr:row>
      <xdr:rowOff>127000</xdr:rowOff>
    </xdr:from>
    <xdr:to>
      <xdr:col>13</xdr:col>
      <xdr:colOff>6350</xdr:colOff>
      <xdr:row>5</xdr:row>
      <xdr:rowOff>138430</xdr:rowOff>
    </xdr:to>
    <xdr:sp macro="[0]!Clear_OtherAsset" textlink="">
      <xdr:nvSpPr>
        <xdr:cNvPr id="13" name="Rectangle: Rounded Corners 12">
          <a:extLst>
            <a:ext uri="{FF2B5EF4-FFF2-40B4-BE49-F238E27FC236}">
              <a16:creationId xmlns:a16="http://schemas.microsoft.com/office/drawing/2014/main" id="{35FB4716-BE28-4184-931B-B2C30C72763F}"/>
            </a:ext>
            <a:ext uri="{147F2762-F138-4A5C-976F-8EAC2B608ADB}">
              <a16:predDERef xmlns:a16="http://schemas.microsoft.com/office/drawing/2014/main" pred="{00000000-0008-0000-0200-000002000000}"/>
            </a:ext>
          </a:extLst>
        </xdr:cNvPr>
        <xdr:cNvSpPr/>
      </xdr:nvSpPr>
      <xdr:spPr>
        <a:xfrm>
          <a:off x="10826750" y="876300"/>
          <a:ext cx="730250" cy="31623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333375</xdr:colOff>
      <xdr:row>4</xdr:row>
      <xdr:rowOff>66674</xdr:rowOff>
    </xdr:from>
    <xdr:to>
      <xdr:col>2</xdr:col>
      <xdr:colOff>142875</xdr:colOff>
      <xdr:row>20</xdr:row>
      <xdr:rowOff>47625</xdr:rowOff>
    </xdr:to>
    <xdr:graphicFrame macro="">
      <xdr:nvGraphicFramePr>
        <xdr:cNvPr id="3" name="Chart 2">
          <a:extLst>
            <a:ext uri="{FF2B5EF4-FFF2-40B4-BE49-F238E27FC236}">
              <a16:creationId xmlns:a16="http://schemas.microsoft.com/office/drawing/2014/main" id="{FB962DB8-9B54-47B3-A9E4-5C9105D6A61A}"/>
            </a:ext>
            <a:ext uri="{147F2762-F138-4A5C-976F-8EAC2B608ADB}">
              <a16:predDERef xmlns:a16="http://schemas.microsoft.com/office/drawing/2014/main" pred="{35FB4716-BE28-4184-931B-B2C30C727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132080</xdr:colOff>
      <xdr:row>1</xdr:row>
      <xdr:rowOff>63500</xdr:rowOff>
    </xdr:from>
    <xdr:to>
      <xdr:col>15</xdr:col>
      <xdr:colOff>502920</xdr:colOff>
      <xdr:row>3</xdr:row>
      <xdr:rowOff>139700</xdr:rowOff>
    </xdr:to>
    <xdr:sp macro="[0]!AssetsPDF" textlink="">
      <xdr:nvSpPr>
        <xdr:cNvPr id="17" name="Rectangle: Rounded Corners 16">
          <a:extLst>
            <a:ext uri="{FF2B5EF4-FFF2-40B4-BE49-F238E27FC236}">
              <a16:creationId xmlns:a16="http://schemas.microsoft.com/office/drawing/2014/main" id="{B2121E20-18CF-4AF1-9904-6063702850A0}"/>
            </a:ext>
          </a:extLst>
        </xdr:cNvPr>
        <xdr:cNvSpPr/>
      </xdr:nvSpPr>
      <xdr:spPr>
        <a:xfrm>
          <a:off x="11173460" y="246380"/>
          <a:ext cx="155956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13</xdr:col>
      <xdr:colOff>136525</xdr:colOff>
      <xdr:row>4</xdr:row>
      <xdr:rowOff>60325</xdr:rowOff>
    </xdr:from>
    <xdr:to>
      <xdr:col>14</xdr:col>
      <xdr:colOff>512730</xdr:colOff>
      <xdr:row>7</xdr:row>
      <xdr:rowOff>41910</xdr:rowOff>
    </xdr:to>
    <xdr:sp macro="" textlink="">
      <xdr:nvSpPr>
        <xdr:cNvPr id="16" name="Speech Bubble: Rectangle with Corners Rounded 15">
          <a:extLst>
            <a:ext uri="{FF2B5EF4-FFF2-40B4-BE49-F238E27FC236}">
              <a16:creationId xmlns:a16="http://schemas.microsoft.com/office/drawing/2014/main" id="{3A7A4E45-B371-443F-A221-C725C86C0289}"/>
            </a:ext>
          </a:extLst>
        </xdr:cNvPr>
        <xdr:cNvSpPr/>
      </xdr:nvSpPr>
      <xdr:spPr>
        <a:xfrm>
          <a:off x="11871325" y="809625"/>
          <a:ext cx="966755" cy="654685"/>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a:t>
          </a:r>
          <a:endParaRPr lang="en-SG" sz="12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66040</xdr:colOff>
      <xdr:row>1</xdr:row>
      <xdr:rowOff>48260</xdr:rowOff>
    </xdr:from>
    <xdr:to>
      <xdr:col>15</xdr:col>
      <xdr:colOff>523240</xdr:colOff>
      <xdr:row>3</xdr:row>
      <xdr:rowOff>118110</xdr:rowOff>
    </xdr:to>
    <xdr:sp macro="" textlink="">
      <xdr:nvSpPr>
        <xdr:cNvPr id="13"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1705590" y="232410"/>
          <a:ext cx="21526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2</xdr:col>
      <xdr:colOff>3810</xdr:colOff>
      <xdr:row>8</xdr:row>
      <xdr:rowOff>8890</xdr:rowOff>
    </xdr:from>
    <xdr:to>
      <xdr:col>2</xdr:col>
      <xdr:colOff>1282700</xdr:colOff>
      <xdr:row>9</xdr:row>
      <xdr:rowOff>114300</xdr:rowOff>
    </xdr:to>
    <xdr:sp macro="[0]!Add_Householdexp" textlink="">
      <xdr:nvSpPr>
        <xdr:cNvPr id="5" name="Rectangle: Rounded Corners 8">
          <a:extLst>
            <a:ext uri="{FF2B5EF4-FFF2-40B4-BE49-F238E27FC236}">
              <a16:creationId xmlns:a16="http://schemas.microsoft.com/office/drawing/2014/main" id="{00000000-0008-0000-0200-000005000000}"/>
            </a:ext>
          </a:extLst>
        </xdr:cNvPr>
        <xdr:cNvSpPr/>
      </xdr:nvSpPr>
      <xdr:spPr>
        <a:xfrm>
          <a:off x="2213610" y="1488440"/>
          <a:ext cx="1278890" cy="28956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1441451</xdr:colOff>
      <xdr:row>8</xdr:row>
      <xdr:rowOff>3175</xdr:rowOff>
    </xdr:from>
    <xdr:to>
      <xdr:col>3</xdr:col>
      <xdr:colOff>806451</xdr:colOff>
      <xdr:row>9</xdr:row>
      <xdr:rowOff>109855</xdr:rowOff>
    </xdr:to>
    <xdr:sp macro="[0]!Clear_HouseHoldExp" textlink="">
      <xdr:nvSpPr>
        <xdr:cNvPr id="6" name="Rectangle: Rounded Corners 5">
          <a:extLst>
            <a:ext uri="{FF2B5EF4-FFF2-40B4-BE49-F238E27FC236}">
              <a16:creationId xmlns:a16="http://schemas.microsoft.com/office/drawing/2014/main" id="{00000000-0008-0000-0200-000006000000}"/>
            </a:ext>
            <a:ext uri="{147F2762-F138-4A5C-976F-8EAC2B608ADB}">
              <a16:predDERef xmlns:a16="http://schemas.microsoft.com/office/drawing/2014/main" pred="{00000000-0008-0000-0200-000002000000}"/>
            </a:ext>
          </a:extLst>
        </xdr:cNvPr>
        <xdr:cNvSpPr/>
      </xdr:nvSpPr>
      <xdr:spPr>
        <a:xfrm>
          <a:off x="3651251" y="1482725"/>
          <a:ext cx="91440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27940</xdr:colOff>
      <xdr:row>8</xdr:row>
      <xdr:rowOff>2540</xdr:rowOff>
    </xdr:from>
    <xdr:to>
      <xdr:col>5</xdr:col>
      <xdr:colOff>1174750</xdr:colOff>
      <xdr:row>9</xdr:row>
      <xdr:rowOff>110490</xdr:rowOff>
    </xdr:to>
    <xdr:sp macro="[0]!Add_UtilitiesExp" textlink="">
      <xdr:nvSpPr>
        <xdr:cNvPr id="7" name="Rectangle: Rounded Corners 6">
          <a:extLst>
            <a:ext uri="{FF2B5EF4-FFF2-40B4-BE49-F238E27FC236}">
              <a16:creationId xmlns:a16="http://schemas.microsoft.com/office/drawing/2014/main" id="{00000000-0008-0000-0200-000007000000}"/>
            </a:ext>
          </a:extLst>
        </xdr:cNvPr>
        <xdr:cNvSpPr/>
      </xdr:nvSpPr>
      <xdr:spPr>
        <a:xfrm>
          <a:off x="5038090" y="1482090"/>
          <a:ext cx="114681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1263650</xdr:colOff>
      <xdr:row>8</xdr:row>
      <xdr:rowOff>8890</xdr:rowOff>
    </xdr:from>
    <xdr:to>
      <xdr:col>6</xdr:col>
      <xdr:colOff>595630</xdr:colOff>
      <xdr:row>9</xdr:row>
      <xdr:rowOff>116840</xdr:rowOff>
    </xdr:to>
    <xdr:sp macro="[0]!Clear_UtilitiesExp"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73800" y="1488440"/>
          <a:ext cx="81153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14</xdr:col>
      <xdr:colOff>3810</xdr:colOff>
      <xdr:row>8</xdr:row>
      <xdr:rowOff>15240</xdr:rowOff>
    </xdr:from>
    <xdr:to>
      <xdr:col>14</xdr:col>
      <xdr:colOff>952500</xdr:colOff>
      <xdr:row>9</xdr:row>
      <xdr:rowOff>129540</xdr:rowOff>
    </xdr:to>
    <xdr:sp macro="[0]!Add_BankLoan" textlink="">
      <xdr:nvSpPr>
        <xdr:cNvPr id="9" name="Rectangle: Rounded Corners 8">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A000000}"/>
            </a:ext>
          </a:extLst>
        </xdr:cNvPr>
        <xdr:cNvSpPr/>
      </xdr:nvSpPr>
      <xdr:spPr>
        <a:xfrm>
          <a:off x="12805410" y="1494790"/>
          <a:ext cx="948690" cy="29845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14</xdr:col>
      <xdr:colOff>1044576</xdr:colOff>
      <xdr:row>8</xdr:row>
      <xdr:rowOff>19050</xdr:rowOff>
    </xdr:from>
    <xdr:to>
      <xdr:col>16</xdr:col>
      <xdr:colOff>3176</xdr:colOff>
      <xdr:row>9</xdr:row>
      <xdr:rowOff>133350</xdr:rowOff>
    </xdr:to>
    <xdr:sp macro="[0]!Clear_BankLoan" textlink="">
      <xdr:nvSpPr>
        <xdr:cNvPr id="16" name="Rectangle: Rounded Corners 9">
          <a:extLst>
            <a:ext uri="{FF2B5EF4-FFF2-40B4-BE49-F238E27FC236}">
              <a16:creationId xmlns:a16="http://schemas.microsoft.com/office/drawing/2014/main" id="{00000000-0008-0000-0200-00000A000000}"/>
            </a:ext>
            <a:ext uri="{147F2762-F138-4A5C-976F-8EAC2B608ADB}">
              <a16:predDERef xmlns:a16="http://schemas.microsoft.com/office/drawing/2014/main" pred="{00000000-0008-0000-0200-000009000000}"/>
            </a:ext>
          </a:extLst>
        </xdr:cNvPr>
        <xdr:cNvSpPr/>
      </xdr:nvSpPr>
      <xdr:spPr>
        <a:xfrm>
          <a:off x="13236576" y="1485900"/>
          <a:ext cx="758825" cy="29527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5714</xdr:colOff>
      <xdr:row>8</xdr:row>
      <xdr:rowOff>7620</xdr:rowOff>
    </xdr:from>
    <xdr:to>
      <xdr:col>11</xdr:col>
      <xdr:colOff>1219199</xdr:colOff>
      <xdr:row>9</xdr:row>
      <xdr:rowOff>102870</xdr:rowOff>
    </xdr:to>
    <xdr:sp macro="[0]!Add_MortgageLoans" textlink="">
      <xdr:nvSpPr>
        <xdr:cNvPr id="11" name="Rectangle: Rounded Corners 10">
          <a:extLst>
            <a:ext uri="{FF2B5EF4-FFF2-40B4-BE49-F238E27FC236}">
              <a16:creationId xmlns:a16="http://schemas.microsoft.com/office/drawing/2014/main" id="{00000000-0008-0000-0200-00000B000000}"/>
            </a:ext>
            <a:ext uri="{147F2762-F138-4A5C-976F-8EAC2B608ADB}">
              <a16:predDERef xmlns:a16="http://schemas.microsoft.com/office/drawing/2014/main" pred="{00000000-0008-0000-0200-00000C000000}"/>
            </a:ext>
          </a:extLst>
        </xdr:cNvPr>
        <xdr:cNvSpPr/>
      </xdr:nvSpPr>
      <xdr:spPr>
        <a:xfrm>
          <a:off x="10438764" y="1487170"/>
          <a:ext cx="1213485" cy="2794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12</xdr:col>
      <xdr:colOff>64453</xdr:colOff>
      <xdr:row>8</xdr:row>
      <xdr:rowOff>4763</xdr:rowOff>
    </xdr:from>
    <xdr:to>
      <xdr:col>12</xdr:col>
      <xdr:colOff>729298</xdr:colOff>
      <xdr:row>9</xdr:row>
      <xdr:rowOff>109538</xdr:rowOff>
    </xdr:to>
    <xdr:sp macro="[0]!Clear_MortgageLoan" textlink="">
      <xdr:nvSpPr>
        <xdr:cNvPr id="15" name="Rectangle: Rounded Corners 11">
          <a:extLst>
            <a:ext uri="{FF2B5EF4-FFF2-40B4-BE49-F238E27FC236}">
              <a16:creationId xmlns:a16="http://schemas.microsoft.com/office/drawing/2014/main" id="{00000000-0008-0000-0200-00000C000000}"/>
            </a:ext>
            <a:ext uri="{147F2762-F138-4A5C-976F-8EAC2B608ADB}">
              <a16:predDERef xmlns:a16="http://schemas.microsoft.com/office/drawing/2014/main" pred="{00000000-0008-0000-0200-00000B000000}"/>
            </a:ext>
          </a:extLst>
        </xdr:cNvPr>
        <xdr:cNvSpPr/>
      </xdr:nvSpPr>
      <xdr:spPr>
        <a:xfrm>
          <a:off x="13050203" y="1854201"/>
          <a:ext cx="664845" cy="3429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7</xdr:col>
      <xdr:colOff>309880</xdr:colOff>
      <xdr:row>8</xdr:row>
      <xdr:rowOff>12065</xdr:rowOff>
    </xdr:from>
    <xdr:to>
      <xdr:col>8</xdr:col>
      <xdr:colOff>1276350</xdr:colOff>
      <xdr:row>9</xdr:row>
      <xdr:rowOff>118745</xdr:rowOff>
    </xdr:to>
    <xdr:sp macro="[0]!Add_RentalExp" textlink="">
      <xdr:nvSpPr>
        <xdr:cNvPr id="3" name="Rectangle: Rounded Corners 13">
          <a:extLst>
            <a:ext uri="{FF2B5EF4-FFF2-40B4-BE49-F238E27FC236}">
              <a16:creationId xmlns:a16="http://schemas.microsoft.com/office/drawing/2014/main" id="{00000000-0008-0000-0200-00000E000000}"/>
            </a:ext>
            <a:ext uri="{147F2762-F138-4A5C-976F-8EAC2B608ADB}">
              <a16:predDERef xmlns:a16="http://schemas.microsoft.com/office/drawing/2014/main" pred="{00000000-0008-0000-0200-00000C000000}"/>
            </a:ext>
          </a:extLst>
        </xdr:cNvPr>
        <xdr:cNvSpPr/>
      </xdr:nvSpPr>
      <xdr:spPr>
        <a:xfrm>
          <a:off x="7072630" y="1545590"/>
          <a:ext cx="1328420" cy="34480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1418590</xdr:colOff>
      <xdr:row>8</xdr:row>
      <xdr:rowOff>3810</xdr:rowOff>
    </xdr:from>
    <xdr:to>
      <xdr:col>10</xdr:col>
      <xdr:colOff>0</xdr:colOff>
      <xdr:row>9</xdr:row>
      <xdr:rowOff>110490</xdr:rowOff>
    </xdr:to>
    <xdr:sp macro="[0]!Clear_RentalExp"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8917940" y="1483360"/>
          <a:ext cx="105791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349251</xdr:colOff>
      <xdr:row>4</xdr:row>
      <xdr:rowOff>209020</xdr:rowOff>
    </xdr:from>
    <xdr:to>
      <xdr:col>2</xdr:col>
      <xdr:colOff>101600</xdr:colOff>
      <xdr:row>20</xdr:row>
      <xdr:rowOff>177270</xdr:rowOff>
    </xdr:to>
    <xdr:graphicFrame macro="">
      <xdr:nvGraphicFramePr>
        <xdr:cNvPr id="4" name="Chart 3">
          <a:extLst>
            <a:ext uri="{FF2B5EF4-FFF2-40B4-BE49-F238E27FC236}">
              <a16:creationId xmlns:a16="http://schemas.microsoft.com/office/drawing/2014/main" id="{1A8B14D7-98CE-40A9-9BDC-A213E6959F3D}"/>
            </a:ext>
            <a:ext uri="{147F2762-F138-4A5C-976F-8EAC2B608ADB}">
              <a16:predDERef xmlns:a16="http://schemas.microsoft.com/office/drawing/2014/main" pred="{00000000-0008-0000-0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17780</xdr:colOff>
      <xdr:row>1</xdr:row>
      <xdr:rowOff>45720</xdr:rowOff>
    </xdr:from>
    <xdr:to>
      <xdr:col>17</xdr:col>
      <xdr:colOff>965200</xdr:colOff>
      <xdr:row>3</xdr:row>
      <xdr:rowOff>121920</xdr:rowOff>
    </xdr:to>
    <xdr:sp macro="[0]!LiabilitiesPDF" textlink="">
      <xdr:nvSpPr>
        <xdr:cNvPr id="18" name="Rectangle: Rounded Corners 17">
          <a:extLst>
            <a:ext uri="{FF2B5EF4-FFF2-40B4-BE49-F238E27FC236}">
              <a16:creationId xmlns:a16="http://schemas.microsoft.com/office/drawing/2014/main" id="{B01A7888-F8BD-4CA4-9BFB-659CE47946EA}"/>
            </a:ext>
          </a:extLst>
        </xdr:cNvPr>
        <xdr:cNvSpPr/>
      </xdr:nvSpPr>
      <xdr:spPr>
        <a:xfrm>
          <a:off x="14617700" y="228600"/>
          <a:ext cx="156464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16</xdr:col>
      <xdr:colOff>180975</xdr:colOff>
      <xdr:row>4</xdr:row>
      <xdr:rowOff>57150</xdr:rowOff>
    </xdr:from>
    <xdr:to>
      <xdr:col>17</xdr:col>
      <xdr:colOff>529875</xdr:colOff>
      <xdr:row>6</xdr:row>
      <xdr:rowOff>127635</xdr:rowOff>
    </xdr:to>
    <xdr:sp macro="" textlink="">
      <xdr:nvSpPr>
        <xdr:cNvPr id="19" name="Speech Bubble: Rectangle with Corners Rounded 18">
          <a:extLst>
            <a:ext uri="{FF2B5EF4-FFF2-40B4-BE49-F238E27FC236}">
              <a16:creationId xmlns:a16="http://schemas.microsoft.com/office/drawing/2014/main" id="{97FBBDDC-E782-4070-A6DE-18BF67624AFE}"/>
            </a:ext>
          </a:extLst>
        </xdr:cNvPr>
        <xdr:cNvSpPr/>
      </xdr:nvSpPr>
      <xdr:spPr>
        <a:xfrm>
          <a:off x="15821025" y="790575"/>
          <a:ext cx="968025"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Tung Xuan</a:t>
          </a:r>
          <a:endParaRPr lang="en-SG" sz="12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182880</xdr:colOff>
      <xdr:row>4</xdr:row>
      <xdr:rowOff>144780</xdr:rowOff>
    </xdr:from>
    <xdr:to>
      <xdr:col>11</xdr:col>
      <xdr:colOff>38100</xdr:colOff>
      <xdr:row>6</xdr:row>
      <xdr:rowOff>214630</xdr:rowOff>
    </xdr:to>
    <xdr:sp macro="" textlink="">
      <xdr:nvSpPr>
        <xdr:cNvPr id="6" name="Rectangle: Rounded Corners 3">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10081260" y="701040"/>
          <a:ext cx="1676400" cy="4356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9</xdr:col>
      <xdr:colOff>196849</xdr:colOff>
      <xdr:row>7</xdr:row>
      <xdr:rowOff>138430</xdr:rowOff>
    </xdr:from>
    <xdr:to>
      <xdr:col>11</xdr:col>
      <xdr:colOff>42332</xdr:colOff>
      <xdr:row>9</xdr:row>
      <xdr:rowOff>60960</xdr:rowOff>
    </xdr:to>
    <xdr:sp macro="[0]!InvestmentsPDF" textlink="">
      <xdr:nvSpPr>
        <xdr:cNvPr id="4" name="Rectangle: Rounded Corners 3">
          <a:extLst>
            <a:ext uri="{FF2B5EF4-FFF2-40B4-BE49-F238E27FC236}">
              <a16:creationId xmlns:a16="http://schemas.microsoft.com/office/drawing/2014/main" id="{71137CE8-9006-452D-8DDF-BD4AE2F5B228}"/>
            </a:ext>
          </a:extLst>
        </xdr:cNvPr>
        <xdr:cNvSpPr/>
      </xdr:nvSpPr>
      <xdr:spPr>
        <a:xfrm>
          <a:off x="14780682" y="1359041"/>
          <a:ext cx="1658761" cy="423475"/>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747890</xdr:colOff>
      <xdr:row>23</xdr:row>
      <xdr:rowOff>28223</xdr:rowOff>
    </xdr:from>
    <xdr:to>
      <xdr:col>0</xdr:col>
      <xdr:colOff>2525890</xdr:colOff>
      <xdr:row>25</xdr:row>
      <xdr:rowOff>162278</xdr:rowOff>
    </xdr:to>
    <xdr:sp macro="[0]!Refresh" textlink="">
      <xdr:nvSpPr>
        <xdr:cNvPr id="5" name="Rectangle: Rounded Corners 4">
          <a:extLst>
            <a:ext uri="{FF2B5EF4-FFF2-40B4-BE49-F238E27FC236}">
              <a16:creationId xmlns:a16="http://schemas.microsoft.com/office/drawing/2014/main" id="{85DED5A6-7409-4BF1-81F1-BA5515BB7B24}"/>
            </a:ext>
            <a:ext uri="{147F2762-F138-4A5C-976F-8EAC2B608ADB}">
              <a16:predDERef xmlns:a16="http://schemas.microsoft.com/office/drawing/2014/main" pred="{71137CE8-9006-452D-8DDF-BD4AE2F5B228}"/>
            </a:ext>
          </a:extLst>
        </xdr:cNvPr>
        <xdr:cNvSpPr/>
      </xdr:nvSpPr>
      <xdr:spPr>
        <a:xfrm>
          <a:off x="747890" y="4628445"/>
          <a:ext cx="1778000" cy="500944"/>
        </a:xfrm>
        <a:prstGeom prst="roundRect">
          <a:avLst/>
        </a:prstGeom>
        <a:solidFill>
          <a:srgbClr val="9B155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CLICK HERE TO AUTO REFRESH</a:t>
          </a:r>
        </a:p>
      </xdr:txBody>
    </xdr:sp>
    <xdr:clientData/>
  </xdr:twoCellAnchor>
  <xdr:twoCellAnchor>
    <xdr:from>
      <xdr:col>0</xdr:col>
      <xdr:colOff>183443</xdr:colOff>
      <xdr:row>5</xdr:row>
      <xdr:rowOff>154045</xdr:rowOff>
    </xdr:from>
    <xdr:to>
      <xdr:col>0</xdr:col>
      <xdr:colOff>3478388</xdr:colOff>
      <xdr:row>23</xdr:row>
      <xdr:rowOff>42334</xdr:rowOff>
    </xdr:to>
    <xdr:graphicFrame macro="">
      <xdr:nvGraphicFramePr>
        <xdr:cNvPr id="7" name="Chart 1">
          <a:extLst>
            <a:ext uri="{FF2B5EF4-FFF2-40B4-BE49-F238E27FC236}">
              <a16:creationId xmlns:a16="http://schemas.microsoft.com/office/drawing/2014/main" id="{46D2C90B-62CB-4E24-B900-0084446C47BC}"/>
            </a:ext>
            <a:ext uri="{147F2762-F138-4A5C-976F-8EAC2B608ADB}">
              <a16:predDERef xmlns:a16="http://schemas.microsoft.com/office/drawing/2014/main" pred="{85DED5A6-7409-4BF1-81F1-BA5515BB7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182456</xdr:colOff>
      <xdr:row>4</xdr:row>
      <xdr:rowOff>138006</xdr:rowOff>
    </xdr:from>
    <xdr:to>
      <xdr:col>12</xdr:col>
      <xdr:colOff>533685</xdr:colOff>
      <xdr:row>7</xdr:row>
      <xdr:rowOff>238336</xdr:rowOff>
    </xdr:to>
    <xdr:sp macro="" textlink="">
      <xdr:nvSpPr>
        <xdr:cNvPr id="8" name="Speech Bubble: Rectangle with Corners Rounded 7">
          <a:extLst>
            <a:ext uri="{FF2B5EF4-FFF2-40B4-BE49-F238E27FC236}">
              <a16:creationId xmlns:a16="http://schemas.microsoft.com/office/drawing/2014/main" id="{62D36E1A-4917-43F2-AAD7-F8EF6E56A965}"/>
            </a:ext>
          </a:extLst>
        </xdr:cNvPr>
        <xdr:cNvSpPr/>
      </xdr:nvSpPr>
      <xdr:spPr>
        <a:xfrm>
          <a:off x="16624723" y="806873"/>
          <a:ext cx="969295" cy="65913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Lincoln</a:t>
          </a:r>
          <a:endParaRPr lang="en-SG" sz="1200" b="0"/>
        </a:p>
      </xdr:txBody>
    </xdr:sp>
    <xdr:clientData/>
  </xdr:twoCellAnchor>
  <xdr:twoCellAnchor>
    <xdr:from>
      <xdr:col>0</xdr:col>
      <xdr:colOff>302260</xdr:colOff>
      <xdr:row>26</xdr:row>
      <xdr:rowOff>99060</xdr:rowOff>
    </xdr:from>
    <xdr:to>
      <xdr:col>0</xdr:col>
      <xdr:colOff>2971800</xdr:colOff>
      <xdr:row>30</xdr:row>
      <xdr:rowOff>91440</xdr:rowOff>
    </xdr:to>
    <xdr:sp macro="" textlink="">
      <xdr:nvSpPr>
        <xdr:cNvPr id="9" name="Rectangle: Rounded Corners 8">
          <a:extLst>
            <a:ext uri="{FF2B5EF4-FFF2-40B4-BE49-F238E27FC236}">
              <a16:creationId xmlns:a16="http://schemas.microsoft.com/office/drawing/2014/main" id="{B68DD748-1968-4A21-AEDF-80E4FBEDCC50}"/>
            </a:ext>
          </a:extLst>
        </xdr:cNvPr>
        <xdr:cNvSpPr/>
      </xdr:nvSpPr>
      <xdr:spPr>
        <a:xfrm>
          <a:off x="302260" y="5227320"/>
          <a:ext cx="2669540" cy="723900"/>
        </a:xfrm>
        <a:prstGeom prst="roundRect">
          <a:avLst>
            <a:gd name="adj" fmla="val 3195"/>
          </a:avLst>
        </a:prstGeom>
        <a:solidFill>
          <a:srgbClr val="926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SG" sz="1200" b="1"/>
            <a:t>Note:</a:t>
          </a:r>
        </a:p>
        <a:p>
          <a:pPr algn="ctr"/>
          <a:r>
            <a:rPr lang="en-SG" sz="1200" b="0"/>
            <a:t>After clicking, the page will refresh every 1 minute.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236220</xdr:colOff>
      <xdr:row>8</xdr:row>
      <xdr:rowOff>98425</xdr:rowOff>
    </xdr:from>
    <xdr:to>
      <xdr:col>7</xdr:col>
      <xdr:colOff>816387</xdr:colOff>
      <xdr:row>22</xdr:row>
      <xdr:rowOff>0</xdr:rowOff>
    </xdr:to>
    <xdr:graphicFrame macro="">
      <xdr:nvGraphicFramePr>
        <xdr:cNvPr id="10"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219710</xdr:colOff>
      <xdr:row>1</xdr:row>
      <xdr:rowOff>104140</xdr:rowOff>
    </xdr:from>
    <xdr:to>
      <xdr:col>14</xdr:col>
      <xdr:colOff>46990</xdr:colOff>
      <xdr:row>3</xdr:row>
      <xdr:rowOff>158750</xdr:rowOff>
    </xdr:to>
    <xdr:sp macro="" textlink="">
      <xdr:nvSpPr>
        <xdr:cNvPr id="20" name="Rectangle: Rounded Corners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9179560" y="104140"/>
          <a:ext cx="169418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3</xdr:col>
      <xdr:colOff>336550</xdr:colOff>
      <xdr:row>28</xdr:row>
      <xdr:rowOff>0</xdr:rowOff>
    </xdr:from>
    <xdr:to>
      <xdr:col>7</xdr:col>
      <xdr:colOff>881551</xdr:colOff>
      <xdr:row>41</xdr:row>
      <xdr:rowOff>106680</xdr:rowOff>
    </xdr:to>
    <xdr:graphicFrame macro="">
      <xdr:nvGraphicFramePr>
        <xdr:cNvPr id="12" name="Chart 1">
          <a:extLst>
            <a:ext uri="{FF2B5EF4-FFF2-40B4-BE49-F238E27FC236}">
              <a16:creationId xmlns:a16="http://schemas.microsoft.com/office/drawing/2014/main" id="{0C3242BF-E37A-46F9-994F-D4A1A3D4629C}"/>
            </a:ext>
            <a:ext uri="{147F2762-F138-4A5C-976F-8EAC2B608ADB}">
              <a16:predDERef xmlns:a16="http://schemas.microsoft.com/office/drawing/2014/main" pre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181610</xdr:colOff>
      <xdr:row>45</xdr:row>
      <xdr:rowOff>123190</xdr:rowOff>
    </xdr:from>
    <xdr:to>
      <xdr:col>14</xdr:col>
      <xdr:colOff>466090</xdr:colOff>
      <xdr:row>61</xdr:row>
      <xdr:rowOff>97790</xdr:rowOff>
    </xdr:to>
    <xdr:graphicFrame macro="">
      <xdr:nvGraphicFramePr>
        <xdr:cNvPr id="5" name="Chart 4">
          <a:extLst>
            <a:ext uri="{FF2B5EF4-FFF2-40B4-BE49-F238E27FC236}">
              <a16:creationId xmlns:a16="http://schemas.microsoft.com/office/drawing/2014/main" id="{0EF5B15A-0360-4E80-BCFD-105E861770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200660</xdr:colOff>
      <xdr:row>66</xdr:row>
      <xdr:rowOff>2540</xdr:rowOff>
    </xdr:from>
    <xdr:to>
      <xdr:col>14</xdr:col>
      <xdr:colOff>482600</xdr:colOff>
      <xdr:row>80</xdr:row>
      <xdr:rowOff>111760</xdr:rowOff>
    </xdr:to>
    <xdr:graphicFrame macro="">
      <xdr:nvGraphicFramePr>
        <xdr:cNvPr id="7" name="Chart 6">
          <a:extLst>
            <a:ext uri="{FF2B5EF4-FFF2-40B4-BE49-F238E27FC236}">
              <a16:creationId xmlns:a16="http://schemas.microsoft.com/office/drawing/2014/main" i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131445</xdr:colOff>
      <xdr:row>25</xdr:row>
      <xdr:rowOff>177800</xdr:rowOff>
    </xdr:from>
    <xdr:to>
      <xdr:col>14</xdr:col>
      <xdr:colOff>489585</xdr:colOff>
      <xdr:row>39</xdr:row>
      <xdr:rowOff>129540</xdr:rowOff>
    </xdr:to>
    <xdr:graphicFrame macro="">
      <xdr:nvGraphicFramePr>
        <xdr:cNvPr id="6" name="Chart 5">
          <a:extLst>
            <a:ext uri="{FF2B5EF4-FFF2-40B4-BE49-F238E27FC236}">
              <a16:creationId xmlns:a16="http://schemas.microsoft.com/office/drawing/2014/main" id="{C256A324-2215-4EC0-BB90-9E44EBF9730C}"/>
            </a:ext>
            <a:ext uri="{147F2762-F138-4A5C-976F-8EAC2B608ADB}">
              <a16:predDERef xmlns:a16="http://schemas.microsoft.com/office/drawing/2014/main" pre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161290</xdr:colOff>
      <xdr:row>7</xdr:row>
      <xdr:rowOff>106680</xdr:rowOff>
    </xdr:from>
    <xdr:to>
      <xdr:col>14</xdr:col>
      <xdr:colOff>447040</xdr:colOff>
      <xdr:row>20</xdr:row>
      <xdr:rowOff>12700</xdr:rowOff>
    </xdr:to>
    <xdr:graphicFrame macro="">
      <xdr:nvGraphicFramePr>
        <xdr:cNvPr id="8" name="Chart 7">
          <a:extLst>
            <a:ext uri="{FF2B5EF4-FFF2-40B4-BE49-F238E27FC236}">
              <a16:creationId xmlns:a16="http://schemas.microsoft.com/office/drawing/2014/main" i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105410</xdr:colOff>
      <xdr:row>67</xdr:row>
      <xdr:rowOff>177800</xdr:rowOff>
    </xdr:from>
    <xdr:to>
      <xdr:col>7</xdr:col>
      <xdr:colOff>1016000</xdr:colOff>
      <xdr:row>81</xdr:row>
      <xdr:rowOff>90000</xdr:rowOff>
    </xdr:to>
    <xdr:graphicFrame macro="">
      <xdr:nvGraphicFramePr>
        <xdr:cNvPr id="9" name="Chart 8">
          <a:extLst>
            <a:ext uri="{FF2B5EF4-FFF2-40B4-BE49-F238E27FC236}">
              <a16:creationId xmlns:a16="http://schemas.microsoft.com/office/drawing/2014/main" id="{EB1B4511-BB20-4290-9C32-EADE18999465}"/>
            </a:ext>
            <a:ext uri="{147F2762-F138-4A5C-976F-8EAC2B608ADB}">
              <a16:predDERef xmlns:a16="http://schemas.microsoft.com/office/drawing/2014/main" pre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105410</xdr:colOff>
      <xdr:row>47</xdr:row>
      <xdr:rowOff>177800</xdr:rowOff>
    </xdr:from>
    <xdr:to>
      <xdr:col>7</xdr:col>
      <xdr:colOff>817457</xdr:colOff>
      <xdr:row>60</xdr:row>
      <xdr:rowOff>172720</xdr:rowOff>
    </xdr:to>
    <xdr:graphicFrame macro="">
      <xdr:nvGraphicFramePr>
        <xdr:cNvPr id="21" name="Chart 20">
          <a:extLst>
            <a:ext uri="{FF2B5EF4-FFF2-40B4-BE49-F238E27FC236}">
              <a16:creationId xmlns:a16="http://schemas.microsoft.com/office/drawing/2014/main" id="{A17E4C51-89B6-45A6-9E06-FB553A41A9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1124903</xdr:colOff>
      <xdr:row>113</xdr:row>
      <xdr:rowOff>120332</xdr:rowOff>
    </xdr:from>
    <xdr:to>
      <xdr:col>7</xdr:col>
      <xdr:colOff>174625</xdr:colOff>
      <xdr:row>116</xdr:row>
      <xdr:rowOff>36512</xdr:rowOff>
    </xdr:to>
    <xdr:sp macro="" textlink="">
      <xdr:nvSpPr>
        <xdr:cNvPr id="30" name="Rectangle: Rounded Corners 29">
          <a:hlinkClick xmlns:r="http://schemas.openxmlformats.org/officeDocument/2006/relationships" r:id="rId10"/>
          <a:extLst>
            <a:ext uri="{FF2B5EF4-FFF2-40B4-BE49-F238E27FC236}">
              <a16:creationId xmlns:a16="http://schemas.microsoft.com/office/drawing/2014/main" id="{338EC252-CFCB-4AD2-874C-B170E581D184}"/>
            </a:ext>
          </a:extLst>
        </xdr:cNvPr>
        <xdr:cNvSpPr/>
      </xdr:nvSpPr>
      <xdr:spPr>
        <a:xfrm>
          <a:off x="6253163" y="22538372"/>
          <a:ext cx="1015682" cy="464820"/>
        </a:xfrm>
        <a:prstGeom prst="roundRect">
          <a:avLst/>
        </a:prstGeom>
        <a:solidFill>
          <a:srgbClr val="702CB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Back</a:t>
          </a:r>
          <a:r>
            <a:rPr lang="en-SG" sz="1200" b="1" baseline="0">
              <a:solidFill>
                <a:schemeClr val="bg1"/>
              </a:solidFill>
            </a:rPr>
            <a:t> </a:t>
          </a:r>
          <a:r>
            <a:rPr lang="en-SG" sz="1200" b="1">
              <a:solidFill>
                <a:schemeClr val="bg1"/>
              </a:solidFill>
            </a:rPr>
            <a:t>to Top</a:t>
          </a:r>
        </a:p>
      </xdr:txBody>
    </xdr:sp>
    <xdr:clientData/>
  </xdr:twoCellAnchor>
  <xdr:twoCellAnchor>
    <xdr:from>
      <xdr:col>14</xdr:col>
      <xdr:colOff>137160</xdr:colOff>
      <xdr:row>1</xdr:row>
      <xdr:rowOff>83820</xdr:rowOff>
    </xdr:from>
    <xdr:to>
      <xdr:col>16</xdr:col>
      <xdr:colOff>463550</xdr:colOff>
      <xdr:row>3</xdr:row>
      <xdr:rowOff>157480</xdr:rowOff>
    </xdr:to>
    <xdr:sp macro="[0]!CalculationsPDF" textlink="">
      <xdr:nvSpPr>
        <xdr:cNvPr id="22" name="Rectangle: Rounded Corners 21">
          <a:extLst>
            <a:ext uri="{FF2B5EF4-FFF2-40B4-BE49-F238E27FC236}">
              <a16:creationId xmlns:a16="http://schemas.microsoft.com/office/drawing/2014/main" id="{9DF7E5AB-B313-4596-AC6C-0D2B9C566DA9}"/>
            </a:ext>
          </a:extLst>
        </xdr:cNvPr>
        <xdr:cNvSpPr/>
      </xdr:nvSpPr>
      <xdr:spPr>
        <a:xfrm>
          <a:off x="12222480" y="266700"/>
          <a:ext cx="1560830" cy="43942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8</xdr:col>
      <xdr:colOff>218599</xdr:colOff>
      <xdr:row>85</xdr:row>
      <xdr:rowOff>90646</xdr:rowOff>
    </xdr:from>
    <xdr:to>
      <xdr:col>14</xdr:col>
      <xdr:colOff>448786</xdr:colOff>
      <xdr:row>100</xdr:row>
      <xdr:rowOff>55721</xdr:rowOff>
    </xdr:to>
    <xdr:graphicFrame macro="">
      <xdr:nvGraphicFramePr>
        <xdr:cNvPr id="13" name="Chart 12">
          <a:extLst>
            <a:ext uri="{FF2B5EF4-FFF2-40B4-BE49-F238E27FC236}">
              <a16:creationId xmlns:a16="http://schemas.microsoft.com/office/drawing/2014/main" id="{5EB1BF21-C035-438D-9305-0FF45C07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287079</xdr:colOff>
      <xdr:row>62</xdr:row>
      <xdr:rowOff>5261</xdr:rowOff>
    </xdr:from>
    <xdr:to>
      <xdr:col>12</xdr:col>
      <xdr:colOff>520700</xdr:colOff>
      <xdr:row>64</xdr:row>
      <xdr:rowOff>9071</xdr:rowOff>
    </xdr:to>
    <xdr:sp macro="[0]!ExtractMonthlyExpensesChart" textlink="">
      <xdr:nvSpPr>
        <xdr:cNvPr id="23" name="Rectangle: Rounded Corners 22">
          <a:extLst>
            <a:ext uri="{FF2B5EF4-FFF2-40B4-BE49-F238E27FC236}">
              <a16:creationId xmlns:a16="http://schemas.microsoft.com/office/drawing/2014/main" id="{DB01C432-5C90-4F18-803D-DAE58ADC8072}"/>
            </a:ext>
          </a:extLst>
        </xdr:cNvPr>
        <xdr:cNvSpPr/>
      </xdr:nvSpPr>
      <xdr:spPr>
        <a:xfrm>
          <a:off x="9735879" y="12288701"/>
          <a:ext cx="2275781" cy="43815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Expenses Chart</a:t>
          </a:r>
          <a:endParaRPr lang="en-SG" sz="1200" b="1">
            <a:solidFill>
              <a:schemeClr val="bg1"/>
            </a:solidFill>
          </a:endParaRPr>
        </a:p>
      </xdr:txBody>
    </xdr:sp>
    <xdr:clientData/>
  </xdr:twoCellAnchor>
  <xdr:twoCellAnchor>
    <xdr:from>
      <xdr:col>9</xdr:col>
      <xdr:colOff>368300</xdr:colOff>
      <xdr:row>81</xdr:row>
      <xdr:rowOff>113030</xdr:rowOff>
    </xdr:from>
    <xdr:to>
      <xdr:col>12</xdr:col>
      <xdr:colOff>556260</xdr:colOff>
      <xdr:row>83</xdr:row>
      <xdr:rowOff>120650</xdr:rowOff>
    </xdr:to>
    <xdr:sp macro="[0]!ExtractMonthlyLoansChart" textlink="">
      <xdr:nvSpPr>
        <xdr:cNvPr id="24" name="Rectangle: Rounded Corners 23">
          <a:extLst>
            <a:ext uri="{FF2B5EF4-FFF2-40B4-BE49-F238E27FC236}">
              <a16:creationId xmlns:a16="http://schemas.microsoft.com/office/drawing/2014/main" id="{5931B2E0-385E-4A42-9649-04DF81D18500}"/>
            </a:ext>
          </a:extLst>
        </xdr:cNvPr>
        <xdr:cNvSpPr/>
      </xdr:nvSpPr>
      <xdr:spPr>
        <a:xfrm>
          <a:off x="9817100" y="16084550"/>
          <a:ext cx="2230120" cy="44196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Loans Chart</a:t>
          </a:r>
          <a:endParaRPr lang="en-SG" sz="1200" b="1">
            <a:solidFill>
              <a:schemeClr val="bg1"/>
            </a:solidFill>
          </a:endParaRPr>
        </a:p>
      </xdr:txBody>
    </xdr:sp>
    <xdr:clientData/>
  </xdr:twoCellAnchor>
  <xdr:twoCellAnchor>
    <xdr:from>
      <xdr:col>9</xdr:col>
      <xdr:colOff>288290</xdr:colOff>
      <xdr:row>41</xdr:row>
      <xdr:rowOff>46355</xdr:rowOff>
    </xdr:from>
    <xdr:to>
      <xdr:col>12</xdr:col>
      <xdr:colOff>557530</xdr:colOff>
      <xdr:row>43</xdr:row>
      <xdr:rowOff>48260</xdr:rowOff>
    </xdr:to>
    <xdr:sp macro="[0]!ExtractMonthlyLiabilitiesChart" textlink="">
      <xdr:nvSpPr>
        <xdr:cNvPr id="25" name="Rectangle: Rounded Corners 24">
          <a:extLst>
            <a:ext uri="{FF2B5EF4-FFF2-40B4-BE49-F238E27FC236}">
              <a16:creationId xmlns:a16="http://schemas.microsoft.com/office/drawing/2014/main" id="{30D22E4D-BCD2-4867-8D7C-36EF60C34664}"/>
            </a:ext>
            <a:ext uri="{147F2762-F138-4A5C-976F-8EAC2B608ADB}">
              <a16:predDERef xmlns:a16="http://schemas.microsoft.com/office/drawing/2014/main" pred="{5931B2E0-385E-4A42-9649-04DF81D18500}"/>
            </a:ext>
          </a:extLst>
        </xdr:cNvPr>
        <xdr:cNvSpPr/>
      </xdr:nvSpPr>
      <xdr:spPr>
        <a:xfrm>
          <a:off x="9737090" y="8138795"/>
          <a:ext cx="2311400" cy="436245"/>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Liabilities Chart</a:t>
          </a:r>
          <a:endParaRPr lang="en-SG" sz="1200" b="1">
            <a:solidFill>
              <a:schemeClr val="bg1"/>
            </a:solidFill>
          </a:endParaRPr>
        </a:p>
      </xdr:txBody>
    </xdr:sp>
    <xdr:clientData/>
  </xdr:twoCellAnchor>
  <xdr:twoCellAnchor>
    <xdr:from>
      <xdr:col>9</xdr:col>
      <xdr:colOff>337820</xdr:colOff>
      <xdr:row>21</xdr:row>
      <xdr:rowOff>25400</xdr:rowOff>
    </xdr:from>
    <xdr:to>
      <xdr:col>12</xdr:col>
      <xdr:colOff>383541</xdr:colOff>
      <xdr:row>23</xdr:row>
      <xdr:rowOff>28575</xdr:rowOff>
    </xdr:to>
    <xdr:sp macro="[0]!ExtractMonthlyAssetsChart" textlink="">
      <xdr:nvSpPr>
        <xdr:cNvPr id="26" name="Rectangle: Rounded Corners 25">
          <a:extLst>
            <a:ext uri="{FF2B5EF4-FFF2-40B4-BE49-F238E27FC236}">
              <a16:creationId xmlns:a16="http://schemas.microsoft.com/office/drawing/2014/main" id="{42528B5D-A934-4FCA-890D-DFF04DD7A44D}"/>
            </a:ext>
            <a:ext uri="{147F2762-F138-4A5C-976F-8EAC2B608ADB}">
              <a16:predDERef xmlns:a16="http://schemas.microsoft.com/office/drawing/2014/main" pred="{5931B2E0-385E-4A42-9649-04DF81D18500}"/>
            </a:ext>
          </a:extLst>
        </xdr:cNvPr>
        <xdr:cNvSpPr/>
      </xdr:nvSpPr>
      <xdr:spPr>
        <a:xfrm>
          <a:off x="9786620" y="4178300"/>
          <a:ext cx="2087881" cy="437515"/>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Assets Chart</a:t>
          </a:r>
          <a:endParaRPr lang="en-SG" sz="1200" b="1">
            <a:solidFill>
              <a:schemeClr val="bg1"/>
            </a:solidFill>
          </a:endParaRPr>
        </a:p>
      </xdr:txBody>
    </xdr:sp>
    <xdr:clientData/>
  </xdr:twoCellAnchor>
  <xdr:twoCellAnchor>
    <xdr:from>
      <xdr:col>9</xdr:col>
      <xdr:colOff>411480</xdr:colOff>
      <xdr:row>100</xdr:row>
      <xdr:rowOff>168910</xdr:rowOff>
    </xdr:from>
    <xdr:to>
      <xdr:col>13</xdr:col>
      <xdr:colOff>120650</xdr:colOff>
      <xdr:row>103</xdr:row>
      <xdr:rowOff>31750</xdr:rowOff>
    </xdr:to>
    <xdr:sp macro="[0]!ExtractMonthlyNetWorthChart" textlink="">
      <xdr:nvSpPr>
        <xdr:cNvPr id="27" name="Rectangle: Rounded Corners 26">
          <a:extLst>
            <a:ext uri="{FF2B5EF4-FFF2-40B4-BE49-F238E27FC236}">
              <a16:creationId xmlns:a16="http://schemas.microsoft.com/office/drawing/2014/main" id="{EB8E2A7A-650F-4AD9-93DB-5C23B7161D68}"/>
            </a:ext>
          </a:extLst>
        </xdr:cNvPr>
        <xdr:cNvSpPr/>
      </xdr:nvSpPr>
      <xdr:spPr>
        <a:xfrm>
          <a:off x="9860280" y="19897090"/>
          <a:ext cx="2368550" cy="44196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Net Worth Chart</a:t>
          </a:r>
          <a:endParaRPr lang="en-SG" sz="1200" b="1">
            <a:solidFill>
              <a:schemeClr val="bg1"/>
            </a:solidFill>
          </a:endParaRPr>
        </a:p>
      </xdr:txBody>
    </xdr:sp>
    <xdr:clientData/>
  </xdr:twoCellAnchor>
  <xdr:twoCellAnchor>
    <xdr:from>
      <xdr:col>16</xdr:col>
      <xdr:colOff>600710</xdr:colOff>
      <xdr:row>1</xdr:row>
      <xdr:rowOff>62230</xdr:rowOff>
    </xdr:from>
    <xdr:to>
      <xdr:col>18</xdr:col>
      <xdr:colOff>601980</xdr:colOff>
      <xdr:row>4</xdr:row>
      <xdr:rowOff>157480</xdr:rowOff>
    </xdr:to>
    <xdr:sp macro="" textlink="">
      <xdr:nvSpPr>
        <xdr:cNvPr id="28" name="Speech Bubble: Rectangle with Corners Rounded 27">
          <a:extLst>
            <a:ext uri="{FF2B5EF4-FFF2-40B4-BE49-F238E27FC236}">
              <a16:creationId xmlns:a16="http://schemas.microsoft.com/office/drawing/2014/main" id="{799ECB83-9154-4381-9DE9-601DB155D3AA}"/>
            </a:ext>
          </a:extLst>
        </xdr:cNvPr>
        <xdr:cNvSpPr/>
      </xdr:nvSpPr>
      <xdr:spPr>
        <a:xfrm>
          <a:off x="14309090" y="245110"/>
          <a:ext cx="1220470"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Alex,Tung Xuan</a:t>
          </a:r>
          <a:endParaRPr lang="en-SG" sz="1200" b="0"/>
        </a:p>
      </xdr:txBody>
    </xdr:sp>
    <xdr:clientData/>
  </xdr:twoCellAnchor>
  <xdr:twoCellAnchor>
    <xdr:from>
      <xdr:col>0</xdr:col>
      <xdr:colOff>648970</xdr:colOff>
      <xdr:row>4</xdr:row>
      <xdr:rowOff>127000</xdr:rowOff>
    </xdr:from>
    <xdr:to>
      <xdr:col>13</xdr:col>
      <xdr:colOff>554990</xdr:colOff>
      <xdr:row>6</xdr:row>
      <xdr:rowOff>92710</xdr:rowOff>
    </xdr:to>
    <xdr:grpSp>
      <xdr:nvGrpSpPr>
        <xdr:cNvPr id="2" name="Group 1">
          <a:extLst>
            <a:ext uri="{FF2B5EF4-FFF2-40B4-BE49-F238E27FC236}">
              <a16:creationId xmlns:a16="http://schemas.microsoft.com/office/drawing/2014/main" id="{BA3759FF-EEBD-458D-9D0B-CFFB9226A028}"/>
            </a:ext>
          </a:extLst>
        </xdr:cNvPr>
        <xdr:cNvGrpSpPr/>
      </xdr:nvGrpSpPr>
      <xdr:grpSpPr>
        <a:xfrm>
          <a:off x="648970" y="869950"/>
          <a:ext cx="11964670" cy="435610"/>
          <a:chOff x="648970" y="866140"/>
          <a:chExt cx="12014200" cy="438150"/>
        </a:xfrm>
      </xdr:grpSpPr>
      <xdr:sp macro="" textlink="">
        <xdr:nvSpPr>
          <xdr:cNvPr id="60" name="Rectangle: Rounded Corners 23">
            <a:hlinkClick xmlns:r="http://schemas.openxmlformats.org/officeDocument/2006/relationships" r:id="rId12"/>
            <a:extLst>
              <a:ext uri="{FF2B5EF4-FFF2-40B4-BE49-F238E27FC236}">
                <a16:creationId xmlns:a16="http://schemas.microsoft.com/office/drawing/2014/main" id="{F6895A53-0894-4557-9DC1-55F5AFE5E5B1}"/>
              </a:ext>
            </a:extLst>
          </xdr:cNvPr>
          <xdr:cNvSpPr/>
        </xdr:nvSpPr>
        <xdr:spPr>
          <a:xfrm>
            <a:off x="2683926" y="866140"/>
            <a:ext cx="1887340" cy="428034"/>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Liabilities</a:t>
            </a:r>
          </a:p>
        </xdr:txBody>
      </xdr:sp>
      <xdr:sp macro="" textlink="">
        <xdr:nvSpPr>
          <xdr:cNvPr id="61" name="Rectangle: Rounded Corners 24">
            <a:hlinkClick xmlns:r="http://schemas.openxmlformats.org/officeDocument/2006/relationships" r:id="rId13"/>
            <a:extLst>
              <a:ext uri="{FF2B5EF4-FFF2-40B4-BE49-F238E27FC236}">
                <a16:creationId xmlns:a16="http://schemas.microsoft.com/office/drawing/2014/main" id="{C19B7946-40CC-407E-AD71-E99966E91819}"/>
              </a:ext>
            </a:extLst>
          </xdr:cNvPr>
          <xdr:cNvSpPr/>
        </xdr:nvSpPr>
        <xdr:spPr>
          <a:xfrm>
            <a:off x="4731171" y="874898"/>
            <a:ext cx="1875567" cy="421772"/>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Expenses</a:t>
            </a:r>
          </a:p>
        </xdr:txBody>
      </xdr:sp>
      <xdr:sp macro="" textlink="">
        <xdr:nvSpPr>
          <xdr:cNvPr id="62" name="Rectangle: Rounded Corners 25">
            <a:hlinkClick xmlns:r="http://schemas.openxmlformats.org/officeDocument/2006/relationships" r:id="rId14"/>
            <a:extLst>
              <a:ext uri="{FF2B5EF4-FFF2-40B4-BE49-F238E27FC236}">
                <a16:creationId xmlns:a16="http://schemas.microsoft.com/office/drawing/2014/main" id="{7AB38015-C028-4838-9EB6-4EFBA1A43E42}"/>
              </a:ext>
            </a:extLst>
          </xdr:cNvPr>
          <xdr:cNvSpPr/>
        </xdr:nvSpPr>
        <xdr:spPr>
          <a:xfrm>
            <a:off x="6760875" y="874898"/>
            <a:ext cx="1879377" cy="421772"/>
          </a:xfrm>
          <a:prstGeom prst="roundRect">
            <a:avLst/>
          </a:prstGeom>
          <a:solidFill>
            <a:schemeClr val="accent6">
              <a:lumMod val="20000"/>
              <a:lumOff val="8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Loans</a:t>
            </a:r>
          </a:p>
        </xdr:txBody>
      </xdr:sp>
      <xdr:sp macro="" textlink="">
        <xdr:nvSpPr>
          <xdr:cNvPr id="63" name="Rectangle: Rounded Corners 26">
            <a:hlinkClick xmlns:r="http://schemas.openxmlformats.org/officeDocument/2006/relationships" r:id="rId15"/>
            <a:extLst>
              <a:ext uri="{FF2B5EF4-FFF2-40B4-BE49-F238E27FC236}">
                <a16:creationId xmlns:a16="http://schemas.microsoft.com/office/drawing/2014/main" id="{06EFD992-784F-460A-A5E2-5D92C501F3ED}"/>
              </a:ext>
            </a:extLst>
          </xdr:cNvPr>
          <xdr:cNvSpPr/>
        </xdr:nvSpPr>
        <xdr:spPr>
          <a:xfrm>
            <a:off x="8770671" y="877394"/>
            <a:ext cx="1890979" cy="419276"/>
          </a:xfrm>
          <a:prstGeom prst="roundRect">
            <a:avLst/>
          </a:prstGeom>
          <a:solidFill>
            <a:schemeClr val="accent4">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Net Worth</a:t>
            </a:r>
          </a:p>
        </xdr:txBody>
      </xdr:sp>
      <xdr:sp macro="" textlink="">
        <xdr:nvSpPr>
          <xdr:cNvPr id="64" name="Rectangle: Rounded Corners 27">
            <a:hlinkClick xmlns:r="http://schemas.openxmlformats.org/officeDocument/2006/relationships" r:id="rId16"/>
            <a:extLst>
              <a:ext uri="{FF2B5EF4-FFF2-40B4-BE49-F238E27FC236}">
                <a16:creationId xmlns:a16="http://schemas.microsoft.com/office/drawing/2014/main" id="{C45390F3-49CD-4C5C-8407-8AA8CB1D076C}"/>
              </a:ext>
            </a:extLst>
          </xdr:cNvPr>
          <xdr:cNvSpPr/>
        </xdr:nvSpPr>
        <xdr:spPr>
          <a:xfrm>
            <a:off x="648970" y="874898"/>
            <a:ext cx="1891150" cy="421772"/>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Assets</a:t>
            </a:r>
          </a:p>
        </xdr:txBody>
      </xdr:sp>
      <xdr:sp macro="" textlink="">
        <xdr:nvSpPr>
          <xdr:cNvPr id="29" name="Rectangle: Rounded Corners 26">
            <a:hlinkClick xmlns:r="http://schemas.openxmlformats.org/officeDocument/2006/relationships" r:id="rId17"/>
            <a:extLst>
              <a:ext uri="{FF2B5EF4-FFF2-40B4-BE49-F238E27FC236}">
                <a16:creationId xmlns:a16="http://schemas.microsoft.com/office/drawing/2014/main" id="{EB753B51-1FCD-4918-B055-149C735E81B0}"/>
              </a:ext>
            </a:extLst>
          </xdr:cNvPr>
          <xdr:cNvSpPr/>
        </xdr:nvSpPr>
        <xdr:spPr>
          <a:xfrm>
            <a:off x="10773461" y="869774"/>
            <a:ext cx="1889709" cy="434516"/>
          </a:xfrm>
          <a:prstGeom prst="roundRect">
            <a:avLst/>
          </a:prstGeom>
          <a:solidFill>
            <a:schemeClr val="accent5">
              <a:lumMod val="20000"/>
              <a:lumOff val="8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Cash Flow</a:t>
            </a:r>
          </a:p>
        </xdr:txBody>
      </xdr:sp>
    </xdr:grpSp>
    <xdr:clientData/>
  </xdr:twoCellAnchor>
  <xdr:twoCellAnchor>
    <xdr:from>
      <xdr:col>4</xdr:col>
      <xdr:colOff>12700</xdr:colOff>
      <xdr:row>93</xdr:row>
      <xdr:rowOff>0</xdr:rowOff>
    </xdr:from>
    <xdr:to>
      <xdr:col>5</xdr:col>
      <xdr:colOff>1219200</xdr:colOff>
      <xdr:row>98</xdr:row>
      <xdr:rowOff>152400</xdr:rowOff>
    </xdr:to>
    <xdr:sp macro="" textlink="">
      <xdr:nvSpPr>
        <xdr:cNvPr id="3" name="Rectangle: Rounded Corners 2">
          <a:extLst>
            <a:ext uri="{FF2B5EF4-FFF2-40B4-BE49-F238E27FC236}">
              <a16:creationId xmlns:a16="http://schemas.microsoft.com/office/drawing/2014/main" id="{8CDCC513-6CFB-494F-B4FC-1D9C81329287}"/>
            </a:ext>
          </a:extLst>
        </xdr:cNvPr>
        <xdr:cNvSpPr/>
      </xdr:nvSpPr>
      <xdr:spPr>
        <a:xfrm>
          <a:off x="3841750" y="18491200"/>
          <a:ext cx="2501900" cy="1041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SG" sz="1400" b="1"/>
            <a:t>Calculation Formula:</a:t>
          </a:r>
        </a:p>
        <a:p>
          <a:pPr algn="ctr"/>
          <a:r>
            <a:rPr lang="en-SG" sz="1400" b="0"/>
            <a:t>Total Assets</a:t>
          </a:r>
          <a:r>
            <a:rPr lang="en-SG" sz="1400" b="0" baseline="0"/>
            <a:t> - Total Liabilities</a:t>
          </a:r>
          <a:endParaRPr lang="en-SG" sz="1400" b="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292099</xdr:colOff>
      <xdr:row>1</xdr:row>
      <xdr:rowOff>58531</xdr:rowOff>
    </xdr:from>
    <xdr:to>
      <xdr:col>14</xdr:col>
      <xdr:colOff>134731</xdr:colOff>
      <xdr:row>3</xdr:row>
      <xdr:rowOff>127718</xdr:rowOff>
    </xdr:to>
    <xdr:sp macro="" textlink="">
      <xdr:nvSpPr>
        <xdr:cNvPr id="5" name="Rectangle: Rounded Corners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7289799" y="242681"/>
          <a:ext cx="1633332" cy="437487"/>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14</xdr:col>
      <xdr:colOff>270933</xdr:colOff>
      <xdr:row>1</xdr:row>
      <xdr:rowOff>59266</xdr:rowOff>
    </xdr:from>
    <xdr:to>
      <xdr:col>17</xdr:col>
      <xdr:colOff>48683</xdr:colOff>
      <xdr:row>3</xdr:row>
      <xdr:rowOff>127423</xdr:rowOff>
    </xdr:to>
    <xdr:sp macro="[0]!CPFPDF" textlink="">
      <xdr:nvSpPr>
        <xdr:cNvPr id="3" name="Rectangle: Rounded Corners 2">
          <a:extLst>
            <a:ext uri="{FF2B5EF4-FFF2-40B4-BE49-F238E27FC236}">
              <a16:creationId xmlns:a16="http://schemas.microsoft.com/office/drawing/2014/main" id="{0E93C180-26C3-49B4-9E1E-39AF27F5FA24}"/>
            </a:ext>
          </a:extLst>
        </xdr:cNvPr>
        <xdr:cNvSpPr/>
      </xdr:nvSpPr>
      <xdr:spPr>
        <a:xfrm>
          <a:off x="9220200" y="245533"/>
          <a:ext cx="1555750" cy="44069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17</xdr:col>
      <xdr:colOff>194734</xdr:colOff>
      <xdr:row>1</xdr:row>
      <xdr:rowOff>25400</xdr:rowOff>
    </xdr:from>
    <xdr:to>
      <xdr:col>18</xdr:col>
      <xdr:colOff>570092</xdr:colOff>
      <xdr:row>5</xdr:row>
      <xdr:rowOff>31750</xdr:rowOff>
    </xdr:to>
    <xdr:sp macro="" textlink="">
      <xdr:nvSpPr>
        <xdr:cNvPr id="6" name="Speech Bubble: Rectangle with Corners Rounded 5">
          <a:extLst>
            <a:ext uri="{FF2B5EF4-FFF2-40B4-BE49-F238E27FC236}">
              <a16:creationId xmlns:a16="http://schemas.microsoft.com/office/drawing/2014/main" id="{19C76E4E-9B6D-480C-B9DB-41C5139BE849}"/>
            </a:ext>
          </a:extLst>
        </xdr:cNvPr>
        <xdr:cNvSpPr/>
      </xdr:nvSpPr>
      <xdr:spPr>
        <a:xfrm>
          <a:off x="13167784" y="209550"/>
          <a:ext cx="965908" cy="74295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 Lincoln</a:t>
          </a:r>
          <a:endParaRPr lang="en-SG" sz="1200" b="0"/>
        </a:p>
      </xdr:txBody>
    </xdr:sp>
    <xdr:clientData/>
  </xdr:twoCellAnchor>
  <xdr:twoCellAnchor>
    <xdr:from>
      <xdr:col>5</xdr:col>
      <xdr:colOff>69850</xdr:colOff>
      <xdr:row>27</xdr:row>
      <xdr:rowOff>184150</xdr:rowOff>
    </xdr:from>
    <xdr:to>
      <xdr:col>5</xdr:col>
      <xdr:colOff>717550</xdr:colOff>
      <xdr:row>29</xdr:row>
      <xdr:rowOff>31750</xdr:rowOff>
    </xdr:to>
    <xdr:sp macro="" textlink="">
      <xdr:nvSpPr>
        <xdr:cNvPr id="2" name="Arrow: Right 1">
          <a:extLst>
            <a:ext uri="{FF2B5EF4-FFF2-40B4-BE49-F238E27FC236}">
              <a16:creationId xmlns:a16="http://schemas.microsoft.com/office/drawing/2014/main" id="{80CA8A2A-326B-4161-9822-339A3CFBD267}"/>
            </a:ext>
          </a:extLst>
        </xdr:cNvPr>
        <xdr:cNvSpPr/>
      </xdr:nvSpPr>
      <xdr:spPr>
        <a:xfrm flipH="1">
          <a:off x="4394200" y="5143500"/>
          <a:ext cx="647700" cy="2286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1</xdr:row>
      <xdr:rowOff>0</xdr:rowOff>
    </xdr:from>
    <xdr:to>
      <xdr:col>9</xdr:col>
      <xdr:colOff>406862</xdr:colOff>
      <xdr:row>3</xdr:row>
      <xdr:rowOff>63962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50FC1FE7-87A5-475E-BA26-6B590D2B404F}"/>
            </a:ext>
          </a:extLst>
        </xdr:cNvPr>
        <xdr:cNvSpPr/>
      </xdr:nvSpPr>
      <xdr:spPr>
        <a:xfrm>
          <a:off x="9337964" y="180109"/>
          <a:ext cx="1681480" cy="42418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13854</xdr:colOff>
      <xdr:row>3</xdr:row>
      <xdr:rowOff>159328</xdr:rowOff>
    </xdr:from>
    <xdr:to>
      <xdr:col>9</xdr:col>
      <xdr:colOff>386773</xdr:colOff>
      <xdr:row>6</xdr:row>
      <xdr:rowOff>41910</xdr:rowOff>
    </xdr:to>
    <xdr:sp macro="[0]!LedgerPDF" textlink="">
      <xdr:nvSpPr>
        <xdr:cNvPr id="4" name="Rectangle: Rounded Corners 3">
          <a:extLst>
            <a:ext uri="{FF2B5EF4-FFF2-40B4-BE49-F238E27FC236}">
              <a16:creationId xmlns:a16="http://schemas.microsoft.com/office/drawing/2014/main" id="{1F22073D-772F-4989-B047-FA66F5C87786}"/>
            </a:ext>
          </a:extLst>
        </xdr:cNvPr>
        <xdr:cNvSpPr/>
      </xdr:nvSpPr>
      <xdr:spPr>
        <a:xfrm>
          <a:off x="9371445" y="713510"/>
          <a:ext cx="1654464" cy="436764"/>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9</xdr:col>
      <xdr:colOff>554182</xdr:colOff>
      <xdr:row>0</xdr:row>
      <xdr:rowOff>152399</xdr:rowOff>
    </xdr:from>
    <xdr:to>
      <xdr:col>11</xdr:col>
      <xdr:colOff>253939</xdr:colOff>
      <xdr:row>4</xdr:row>
      <xdr:rowOff>98713</xdr:rowOff>
    </xdr:to>
    <xdr:sp macro="" textlink="">
      <xdr:nvSpPr>
        <xdr:cNvPr id="5" name="Speech Bubble: Rectangle with Corners Rounded 4">
          <a:extLst>
            <a:ext uri="{FF2B5EF4-FFF2-40B4-BE49-F238E27FC236}">
              <a16:creationId xmlns:a16="http://schemas.microsoft.com/office/drawing/2014/main" id="{7D86EEB8-6FE0-4254-BFDD-7AF73F878AC2}"/>
            </a:ext>
          </a:extLst>
        </xdr:cNvPr>
        <xdr:cNvSpPr/>
      </xdr:nvSpPr>
      <xdr:spPr>
        <a:xfrm>
          <a:off x="11166764" y="152399"/>
          <a:ext cx="974375" cy="66675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Lincoln</a:t>
          </a:r>
          <a:endParaRPr lang="en-SG" sz="12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34925</xdr:colOff>
      <xdr:row>3</xdr:row>
      <xdr:rowOff>9525</xdr:rowOff>
    </xdr:from>
    <xdr:to>
      <xdr:col>23</xdr:col>
      <xdr:colOff>92075</xdr:colOff>
      <xdr:row>26</xdr:row>
      <xdr:rowOff>174625</xdr:rowOff>
    </xdr:to>
    <xdr:graphicFrame macro="">
      <xdr:nvGraphicFramePr>
        <xdr:cNvPr id="2" name="Chart 1">
          <a:extLst>
            <a:ext uri="{FF2B5EF4-FFF2-40B4-BE49-F238E27FC236}">
              <a16:creationId xmlns:a16="http://schemas.microsoft.com/office/drawing/2014/main" id="{E720971E-7264-4DB5-9D2A-B93955CF1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388620</xdr:colOff>
      <xdr:row>0</xdr:row>
      <xdr:rowOff>57150</xdr:rowOff>
    </xdr:from>
    <xdr:to>
      <xdr:col>18</xdr:col>
      <xdr:colOff>131445</xdr:colOff>
      <xdr:row>20</xdr:row>
      <xdr:rowOff>66675</xdr:rowOff>
    </xdr:to>
    <xdr:graphicFrame macro="">
      <xdr:nvGraphicFramePr>
        <xdr:cNvPr id="2" name="Chart 1">
          <a:extLst>
            <a:ext uri="{FF2B5EF4-FFF2-40B4-BE49-F238E27FC236}">
              <a16:creationId xmlns:a16="http://schemas.microsoft.com/office/drawing/2014/main" id="{5A762683-0246-416F-B885-11323EDBAF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66675</xdr:colOff>
      <xdr:row>15</xdr:row>
      <xdr:rowOff>57150</xdr:rowOff>
    </xdr:from>
    <xdr:to>
      <xdr:col>13</xdr:col>
      <xdr:colOff>371475</xdr:colOff>
      <xdr:row>30</xdr:row>
      <xdr:rowOff>85725</xdr:rowOff>
    </xdr:to>
    <xdr:graphicFrame macro="">
      <xdr:nvGraphicFramePr>
        <xdr:cNvPr id="2" name="Chart 1">
          <a:extLst>
            <a:ext uri="{FF2B5EF4-FFF2-40B4-BE49-F238E27FC236}">
              <a16:creationId xmlns:a16="http://schemas.microsoft.com/office/drawing/2014/main" id="{7D5E4D35-9BA6-4A69-8288-B79C61FBC8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219710</xdr:colOff>
      <xdr:row>1</xdr:row>
      <xdr:rowOff>104140</xdr:rowOff>
    </xdr:from>
    <xdr:to>
      <xdr:col>13</xdr:col>
      <xdr:colOff>685800</xdr:colOff>
      <xdr:row>3</xdr:row>
      <xdr:rowOff>158750</xdr:rowOff>
    </xdr:to>
    <xdr:sp macro="" textlink="">
      <xdr:nvSpPr>
        <xdr:cNvPr id="6" name="Rectangle: Rounded Corners 2">
          <a:hlinkClick xmlns:r="http://schemas.openxmlformats.org/officeDocument/2006/relationships" r:id="rId1"/>
          <a:extLst>
            <a:ext uri="{FF2B5EF4-FFF2-40B4-BE49-F238E27FC236}">
              <a16:creationId xmlns:a16="http://schemas.microsoft.com/office/drawing/2014/main" id="{50DB7F31-CE57-4605-B0A8-3EC3F469464E}"/>
            </a:ext>
          </a:extLst>
        </xdr:cNvPr>
        <xdr:cNvSpPr/>
      </xdr:nvSpPr>
      <xdr:spPr>
        <a:xfrm>
          <a:off x="7452360" y="288290"/>
          <a:ext cx="165989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13</xdr:col>
      <xdr:colOff>803910</xdr:colOff>
      <xdr:row>1</xdr:row>
      <xdr:rowOff>83820</xdr:rowOff>
    </xdr:from>
    <xdr:to>
      <xdr:col>15</xdr:col>
      <xdr:colOff>742950</xdr:colOff>
      <xdr:row>3</xdr:row>
      <xdr:rowOff>157480</xdr:rowOff>
    </xdr:to>
    <xdr:sp macro="[0]!ForecastsPDF" textlink="">
      <xdr:nvSpPr>
        <xdr:cNvPr id="4" name="Rectangle: Rounded Corners 3">
          <a:extLst>
            <a:ext uri="{FF2B5EF4-FFF2-40B4-BE49-F238E27FC236}">
              <a16:creationId xmlns:a16="http://schemas.microsoft.com/office/drawing/2014/main" id="{BC5901F9-CB13-4E1B-AE7D-51944D1E0DBD}"/>
            </a:ext>
          </a:extLst>
        </xdr:cNvPr>
        <xdr:cNvSpPr/>
      </xdr:nvSpPr>
      <xdr:spPr>
        <a:xfrm>
          <a:off x="9230360" y="267970"/>
          <a:ext cx="134239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546101</xdr:colOff>
      <xdr:row>7</xdr:row>
      <xdr:rowOff>28576</xdr:rowOff>
    </xdr:from>
    <xdr:to>
      <xdr:col>11</xdr:col>
      <xdr:colOff>353786</xdr:colOff>
      <xdr:row>23</xdr:row>
      <xdr:rowOff>161975</xdr:rowOff>
    </xdr:to>
    <xdr:graphicFrame macro="">
      <xdr:nvGraphicFramePr>
        <xdr:cNvPr id="8" name="Chart 7">
          <a:extLst>
            <a:ext uri="{FF2B5EF4-FFF2-40B4-BE49-F238E27FC236}">
              <a16:creationId xmlns:a16="http://schemas.microsoft.com/office/drawing/2014/main" id="{913342B3-C107-4FA0-BAFE-8668F70B09AA}"/>
            </a:ext>
            <a:ext uri="{147F2762-F138-4A5C-976F-8EAC2B608ADB}">
              <a16:predDERef xmlns:a16="http://schemas.microsoft.com/office/drawing/2014/main" pred="{BC5901F9-CB13-4E1B-AE7D-51944D1E0D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542925</xdr:colOff>
      <xdr:row>4</xdr:row>
      <xdr:rowOff>66675</xdr:rowOff>
    </xdr:from>
    <xdr:to>
      <xdr:col>16</xdr:col>
      <xdr:colOff>0</xdr:colOff>
      <xdr:row>7</xdr:row>
      <xdr:rowOff>47625</xdr:rowOff>
    </xdr:to>
    <xdr:sp macro="" textlink="">
      <xdr:nvSpPr>
        <xdr:cNvPr id="5" name="Speech Bubble: Rectangle with Corners Rounded 4">
          <a:extLst>
            <a:ext uri="{FF2B5EF4-FFF2-40B4-BE49-F238E27FC236}">
              <a16:creationId xmlns:a16="http://schemas.microsoft.com/office/drawing/2014/main" id="{E125FBDC-72A2-46C0-9802-18237232E0EC}"/>
            </a:ext>
            <a:ext uri="{147F2762-F138-4A5C-976F-8EAC2B608ADB}">
              <a16:predDERef xmlns:a16="http://schemas.microsoft.com/office/drawing/2014/main" pred="{913342B3-C107-4FA0-BAFE-8668F70B09AA}"/>
            </a:ext>
          </a:extLst>
        </xdr:cNvPr>
        <xdr:cNvSpPr/>
      </xdr:nvSpPr>
      <xdr:spPr>
        <a:xfrm>
          <a:off x="7934325" y="790575"/>
          <a:ext cx="2076450" cy="57150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 Tung Xuan, Lincoln</a:t>
          </a:r>
          <a:endParaRPr lang="en-SG" sz="1200" b="0"/>
        </a:p>
      </xdr:txBody>
    </xdr:sp>
    <xdr:clientData/>
  </xdr:twoCellAnchor>
  <xdr:twoCellAnchor>
    <xdr:from>
      <xdr:col>0</xdr:col>
      <xdr:colOff>487680</xdr:colOff>
      <xdr:row>29</xdr:row>
      <xdr:rowOff>30480</xdr:rowOff>
    </xdr:from>
    <xdr:to>
      <xdr:col>11</xdr:col>
      <xdr:colOff>295365</xdr:colOff>
      <xdr:row>45</xdr:row>
      <xdr:rowOff>163879</xdr:rowOff>
    </xdr:to>
    <xdr:graphicFrame macro="">
      <xdr:nvGraphicFramePr>
        <xdr:cNvPr id="7" name="Chart 6">
          <a:extLst>
            <a:ext uri="{FF2B5EF4-FFF2-40B4-BE49-F238E27FC236}">
              <a16:creationId xmlns:a16="http://schemas.microsoft.com/office/drawing/2014/main" id="{4FBB077B-1F33-4B4F-AF99-1A18786C3EDD}"/>
            </a:ext>
            <a:ext uri="{147F2762-F138-4A5C-976F-8EAC2B608ADB}">
              <a16:predDERef xmlns:a16="http://schemas.microsoft.com/office/drawing/2014/main" pred="{BC5901F9-CB13-4E1B-AE7D-51944D1E0D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466725</xdr:colOff>
      <xdr:row>51</xdr:row>
      <xdr:rowOff>133350</xdr:rowOff>
    </xdr:from>
    <xdr:to>
      <xdr:col>11</xdr:col>
      <xdr:colOff>304800</xdr:colOff>
      <xdr:row>66</xdr:row>
      <xdr:rowOff>85725</xdr:rowOff>
    </xdr:to>
    <xdr:graphicFrame macro="">
      <xdr:nvGraphicFramePr>
        <xdr:cNvPr id="9" name="Chart 8">
          <a:extLst>
            <a:ext uri="{FF2B5EF4-FFF2-40B4-BE49-F238E27FC236}">
              <a16:creationId xmlns:a16="http://schemas.microsoft.com/office/drawing/2014/main" id="{4807D4B4-AFB1-4BA6-9063-E8AC4B4AB2F0}"/>
            </a:ext>
            <a:ext uri="{147F2762-F138-4A5C-976F-8EAC2B608ADB}">
              <a16:predDERef xmlns:a16="http://schemas.microsoft.com/office/drawing/2014/main" pred="{4FBB077B-1F33-4B4F-AF99-1A18786C3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5">
  <rv s="0">
    <v>en-US</v>
    <v>avyspr</v>
    <v>268435456</v>
    <v>1</v>
    <v>Powered by Refinitiv</v>
    <v>0</v>
    <v>USD/SGD</v>
    <v>2</v>
    <v>3</v>
    <v>Finance</v>
    <v>4</v>
    <v>1.3744000000000001</v>
    <v>1.3160000000000001</v>
    <v>-2.0000000000000001E-4</v>
    <v>-1.4880000000000001E-4</v>
    <v>SGD</v>
    <v>USD</v>
    <v>1.3451</v>
    <v>Currency Pair</v>
    <v>44587.48978009259</v>
    <v>1.3433999999999999</v>
    <v>US Dollar/Singapore Dollar FX Spot Rate</v>
    <v>1.3443000000000001</v>
    <v>1.3443000000000001</v>
    <v>1.3441000000000001</v>
    <v>USDSGD</v>
    <v>USD/SGD</v>
  </rv>
  <rv s="1">
    <v>0</v>
  </rv>
  <rv s="2">
    <v>https://www.bing.com/financeapi/forcetrigger?t=ao5l3m&amp;q=XLON%3aABC&amp;form=skydnc</v>
    <v>Learn more on Bing</v>
  </rv>
  <rv s="3">
    <v>en-US</v>
    <v>ao5l3m</v>
    <v>268435456</v>
    <v>1</v>
    <v>Powered by Refinitiv</v>
    <v>5</v>
    <v>ABCAM PLC (XLON:ABC)</v>
    <v>6</v>
    <v>7</v>
    <v>Finance</v>
    <v>8</v>
    <v>1760</v>
    <v>1200</v>
    <v>0.56769999999999998</v>
    <v>-10</v>
    <v>-7.8429999999999993E-3</v>
    <v>GBp</v>
    <v>Abcam plc is a global life sciences company. The Company is focused on identifying, developing and distributing reagents and tools which are required in the fields of life science research. The Company's product offering includes portfolio of antibodies and related protein research tools that are fundamental to its customers' research and experimental workflow. The Company's product type includes primary antibodies, secondary antibodies, biochemicals, isotype controls, flow cytometry multi-color selector, kits, loading controls, lysates, peptides, proteins, slides, tags and cell markers. The Company's products are used by researchers to study biological pathways, which is critical for scientific research, diagnostics and drug discovery. The Company serves scientists and researchers in academic institutions, research institutes and pharmaceutical, biotechnology and diagnostics companies.</v>
    <v>1500</v>
    <v>London Stock Exchange</v>
    <v>XLON</v>
    <v>XLON</v>
    <v>Discovery Drive, Cambridge Biomedical Campus, Hills Road, CAMBRIDGE, CAMBRIDGESHIRE, CB20AX GB</v>
    <v>1281</v>
    <v>Pharmaceuticals</v>
    <v>Stock</v>
    <v>44587.479200902344</v>
    <v>2</v>
    <v>1234</v>
    <v>2918266000</v>
    <v>ABCAM PLC</v>
    <v>ABCAM PLC</v>
    <v>1234</v>
    <v>174.89709999999999</v>
    <v>1275</v>
    <v>1265</v>
    <v>228883600</v>
    <v>ABC</v>
    <v>ABCAM PLC (XLON:ABC)</v>
    <v>56028</v>
    <v>1998</v>
  </rv>
  <rv s="1">
    <v>3</v>
  </rv>
  <rv s="2">
    <v>https://www.bing.com/financeapi/forcetrigger?t=af3y27&amp;q=XFRA%3aADS&amp;form=skydnc</v>
    <v>Learn more on Bing</v>
  </rv>
  <rv s="3">
    <v>en-US</v>
    <v>af3y27</v>
    <v>268435456</v>
    <v>1</v>
    <v>Powered by Refinitiv</v>
    <v>5</v>
    <v>Adidas AG (XFRA:ADS)</v>
    <v>6</v>
    <v>9</v>
    <v>Finance</v>
    <v>10</v>
    <v>335.05</v>
    <v>160.1</v>
    <v>0.7</v>
    <v>6.05</v>
    <v>2.5323999999999999E-2</v>
    <v>EUR</v>
    <v>Adidas AG is a Germany-based company that designs, develops, produces and markets a range of athletic and sports lifestyle products. The Company's segments include Europe, North America adidas, North America Reebok, Asia-Pacific, Russia/CIS, Latin America; Emerging Markets, adidas Golf, Runtastic and Other centrally managed business. Each segment includes wholesale, retail and e-commerce business activities relating to the distribution and sale of products of the adidas and Reebok brands to retail customers and end consumers. The Company has over 2,300 own-retail stores, over 14,000 mono-branded franchise stores and over 150,000 wholesale doors. The adidas and Reebok branded products include footwear, apparel and hardware, such as bags and balls.</v>
    <v>58007</v>
    <v>Deutsche Boerse AG</v>
    <v>XFRA</v>
    <v>XFRA</v>
    <v>Adi-Dassler-Strasse 1, HERZOGENAURACH, BAYERN, 91074 DE</v>
    <v>245.55</v>
    <v>Textiles &amp; Apparel</v>
    <v>Stock</v>
    <v>44587.479166666664</v>
    <v>5</v>
    <v>239.25</v>
    <v>45671770000</v>
    <v>Adidas AG</v>
    <v>Adidas AG</v>
    <v>241.1</v>
    <v>31.68</v>
    <v>238.9</v>
    <v>244.95</v>
    <v>192100000</v>
    <v>ADS</v>
    <v>Adidas AG (XFRA:ADS)</v>
    <v>1513</v>
    <v>1989</v>
  </rv>
  <rv s="1">
    <v>6</v>
  </rv>
  <rv s="2">
    <v>http://en.wikipedia.org/wiki/Public_domain</v>
    <v>Public domain</v>
  </rv>
  <rv s="2">
    <v>http://en.wikipedia.org/wiki/Alphabet_Inc.</v>
    <v>Wikipedia</v>
  </rv>
  <rv s="4">
    <v>8</v>
    <v>9</v>
  </rv>
  <rv s="5">
    <v>16</v>
    <v>https://www.bing.com/th?id=AMMS_91f59ff6c9305ce24b1cf0389cd856f8&amp;qlt=95</v>
    <v>10</v>
    <v>0</v>
    <v>https://www.bing.com/images/search?form=xlimg&amp;q=alphabet+inc.</v>
    <v>Image of ALPHABET INC.</v>
  </rv>
  <rv s="2">
    <v>https://www.bing.com/financeapi/forcetrigger?t=a1u3rw&amp;q=XNAS%3aGOOGL&amp;form=skydnc</v>
    <v>Learn more on Bing</v>
  </rv>
  <rv s="6">
    <v>en-US</v>
    <v>a1u3rw</v>
    <v>268435456</v>
    <v>1</v>
    <v>Powered by Refinitiv</v>
    <v>11</v>
    <v>ALPHABET INC. (XNAS:GOOGL)</v>
    <v>13</v>
    <v>14</v>
    <v>Finance</v>
    <v>15</v>
    <v>3019.33</v>
    <v>1797.28</v>
    <v>1.0911</v>
    <v>-77.38</v>
    <v>-2.9579000000000001E-2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150028</v>
    <v>Nasdaq Stock Market</v>
    <v>XNAS</v>
    <v>XNAS</v>
    <v>1600 Amphitheatre Pkwy, MOUNTAIN VIEW, CA, 94043-1351 US</v>
    <v>2587.98</v>
    <v>11</v>
    <v>Software &amp; IT Services</v>
    <v>Stock</v>
    <v>44587.041515520315</v>
    <v>12</v>
    <v>2530.0100000000002</v>
    <v>1733715000000</v>
    <v>ALPHABET INC.</v>
    <v>ALPHABET INC.</v>
    <v>2574.8000000000002</v>
    <v>24.459</v>
    <v>2616.08</v>
    <v>2538.6999999999998</v>
    <v>663764000</v>
    <v>GOOGL</v>
    <v>ALPHABET INC. (XNAS:GOOGL)</v>
    <v>3747</v>
    <v>1612808</v>
    <v>2015</v>
  </rv>
  <rv s="1">
    <v>13</v>
  </rv>
  <rv s="2">
    <v>http://nl.wikipedia.org/wiki/Apple_Inc.</v>
    <v>Wikipedia</v>
  </rv>
  <rv s="4">
    <v>8</v>
    <v>15</v>
  </rv>
  <rv s="5">
    <v>16</v>
    <v>https://www.bing.com/th?id=AMMS_5bc8393c85a56e6bb6524ea7b3970bad&amp;qlt=95</v>
    <v>16</v>
    <v>0</v>
    <v>https://www.bing.com/images/search?form=xlimg&amp;q=apple+inc</v>
    <v>Image of APPLE INC.</v>
  </rv>
  <rv s="2">
    <v>https://www.bing.com/financeapi/forcetrigger?t=a1mou2&amp;q=XNAS%3aAAPL&amp;form=skydnc</v>
    <v>Learn more on Bing</v>
  </rv>
  <rv s="6">
    <v>en-US</v>
    <v>a1mou2</v>
    <v>268435456</v>
    <v>1</v>
    <v>Powered by Refinitiv</v>
    <v>11</v>
    <v>APPLE INC. (XNAS:AAPL)</v>
    <v>13</v>
    <v>14</v>
    <v>Finance</v>
    <v>15</v>
    <v>182.94</v>
    <v>116.21</v>
    <v>1.214</v>
    <v>-1.84</v>
    <v>-1.1385000000000001E-2</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154000</v>
    <v>Nasdaq Stock Market</v>
    <v>XNAS</v>
    <v>XNAS</v>
    <v>1 Apple Park Way, CUPERTINO, CA, 95014-0642 US</v>
    <v>162.76</v>
    <v>17</v>
    <v>Computers, Phones &amp; Household Electronics</v>
    <v>Stock</v>
    <v>44587.041629930471</v>
    <v>18</v>
    <v>157.02000000000001</v>
    <v>2609905638600</v>
    <v>APPLE INC.</v>
    <v>APPLE INC.</v>
    <v>158.97999999999999</v>
    <v>28.495799999999999</v>
    <v>161.62</v>
    <v>159.78</v>
    <v>16334370000</v>
    <v>AAPL</v>
    <v>APPLE INC. (XNAS:AAPL)</v>
    <v>212138</v>
    <v>91320044</v>
    <v>1977</v>
  </rv>
  <rv s="1">
    <v>19</v>
  </rv>
  <rv s="2">
    <v>https://www.bing.com/financeapi/forcetrigger?t=a2caz2&amp;q=OTCM%3aCLCN&amp;form=skydnc</v>
    <v>Learn more on Bing</v>
  </rv>
  <rv s="3">
    <v>en-US</v>
    <v>a2caz2</v>
    <v>268435456</v>
    <v>1</v>
    <v>Powered by Refinitiv</v>
    <v>5</v>
    <v>CREATIVE LEARNING CORPORATION (OTCM:CLCN)</v>
    <v>6</v>
    <v>17</v>
    <v>Finance</v>
    <v>10</v>
    <v>0.33</v>
    <v>0.1201</v>
    <v>0.68220000000000003</v>
    <v>0</v>
    <v>0</v>
    <v>USD</v>
    <v>Creative Learning Corporation offers educational and enrichment programs to children ages 3 to 13+ through its franchisees. The Company, through its subsidiary BFK Franchise Company, LLC (BFK), conduct business under the trade name Bricks 4 Kidz, offer programs designed to teach principles and methods of engineering to children between the ages of 3 and 13 using its LEGO plastic bricks and other LEGO products. The Company, through its subsidiary SF Franchise Company, LLC (SF), offers a second franchise concept known as Sew Fun Studios. Sew Fun Studios is a mobile business operated by franchisees within a specific geographic territory offering creative project-based activities, classes, and programs in fashion and interior design and sewing to children and adults. The Company has approximately 496 Bricks 4 Kidz and Sew Fun Studios franchise territories, including 28 Bricks 4 Kidz master franchises and 141 Bricks 4 Kidz sub-franchises operating in approximately 40 countries.</v>
    <v>5</v>
    <v>OTC Markets</v>
    <v>OTCM</v>
    <v>OTCM</v>
    <v>701 Market St, ST AUGUSTINE, FL, 32095 US</v>
    <v>0.16</v>
    <v>Miscellaneous Educational Service Providers</v>
    <v>Stock</v>
    <v>44582.604193853906</v>
    <v>21</v>
    <v>0.16</v>
    <v>2164130</v>
    <v>CREATIVE LEARNING CORPORATION</v>
    <v>CREATIVE LEARNING CORPORATION</v>
    <v>0.16</v>
    <v>6.7454000000000001</v>
    <v>0.16</v>
    <v>0.16</v>
    <v>13525840</v>
    <v>CLCN</v>
    <v>CREATIVE LEARNING CORPORATION (OTCM:CLCN)</v>
    <v>1</v>
    <v>2006</v>
  </rv>
  <rv s="1">
    <v>22</v>
  </rv>
  <rv s="2">
    <v>https://www.bing.com/financeapi/forcetrigger?t=a1retc&amp;q=XNYS%3aDELL&amp;form=skydnc</v>
    <v>Learn more on Bing</v>
  </rv>
  <rv s="7">
    <v>en-US</v>
    <v>a1retc</v>
    <v>268435456</v>
    <v>1</v>
    <v>Powered by Refinitiv</v>
    <v>18</v>
    <v>DELL TECHNOLOGIES INC. (XNYS:DELL)</v>
    <v>6</v>
    <v>19</v>
    <v>Finance</v>
    <v>20</v>
    <v>60.81</v>
    <v>36.667099999999998</v>
    <v>0.81859999999999999</v>
    <v>0.02</v>
    <v>3.6089999999999999E-4</v>
    <v>USD</v>
    <v>Dell Technologies Inc. is a provider of information technology solutions. The Company operates through segments, such as Infrastructure Solutions Group (ISG) and Client Solutions Group (CSG). The ISG segment enables the digital transformation of its customers through its multi-cloud and big data solutions, which are built upon a data center infrastructure. ISG solutions are built for multi-cloud environments and are enhanced to run cloud native workloads in both public and private clouds, as well as traditional on-premise workloads. The CSG segment includes hardware and peripherals, as well as third-party software and peripherals. CSG also offers attached software, peripherals, and services, including support and deployment, configuration, and extended warranty services. Its other businesses consist of product and service including Secureworks, Virtustream, and Boomi.</v>
    <v>158000</v>
    <v>New York Stock Exchange</v>
    <v>XNYS</v>
    <v>XNYS</v>
    <v>ONE DELL WAY, ROUND ROCK, TX, 78682 US</v>
    <v>56.03</v>
    <v>Computers, Phones &amp; Household Electronics</v>
    <v>Stock</v>
    <v>44586.96599695547</v>
    <v>24</v>
    <v>53.6</v>
    <v>42349778856</v>
    <v>DELL TECHNOLOGIES INC.</v>
    <v>DELL TECHNOLOGIES INC.</v>
    <v>54.85</v>
    <v>6.4095000000000004</v>
    <v>55.42</v>
    <v>55.44</v>
    <v>763884900</v>
    <v>DELL</v>
    <v>DELL TECHNOLOGIES INC. (XNYS:DELL)</v>
    <v>4421920</v>
    <v>4088897</v>
    <v>2013</v>
  </rv>
  <rv s="1">
    <v>25</v>
  </rv>
  <rv s="2">
    <v>https://www.bing.com/financeapi/forcetrigger?t=a1rjec&amp;q=XNAS%3aEA&amp;form=skydnc</v>
    <v>Learn more on Bing</v>
  </rv>
  <rv s="7">
    <v>en-US</v>
    <v>a1rjec</v>
    <v>268435456</v>
    <v>1</v>
    <v>Powered by Refinitiv</v>
    <v>18</v>
    <v>ELECTRONIC ARTS INC. (XNAS:EA)</v>
    <v>6</v>
    <v>19</v>
    <v>Finance</v>
    <v>20</v>
    <v>150.30000000000001</v>
    <v>120.08</v>
    <v>0.81359999999999999</v>
    <v>-4.1900000000000004</v>
    <v>-3.0991000000000001E-2</v>
    <v>USD</v>
    <v>Electronic Arts Inc. is a digital interactive entertainment company. The Company develops, markets, publishes and deliver games, content and services that can be played by consumers on a range of platforms, which include game consoles, personal computers (PCs), mobile phones and tablets. The Company's games and services are based on a portfolio of intellectual property that includes brands, such as Battlefield, The Sims, Apex Legends, Need for Speed, Plants vs. Zombies, FIFA, Madden NFL and Star Wars.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such as Steam. Its mobile, tablet and PC free-to-download games and additional content are available through third-party application storefronts, such as the Apple Application Store and Google Play.</v>
    <v>11000</v>
    <v>Nasdaq Stock Market</v>
    <v>XNAS</v>
    <v>XNAS</v>
    <v>209 Redwood Shores Pkwy, REDWOOD CITY, CA, 94065-1175 US</v>
    <v>134.02000000000001</v>
    <v>Software &amp; IT Services</v>
    <v>Stock</v>
    <v>44587.041264015628</v>
    <v>27</v>
    <v>129.54</v>
    <v>37050689181</v>
    <v>ELECTRONIC ARTS INC.</v>
    <v>ELECTRONIC ARTS INC.</v>
    <v>133.57</v>
    <v>48.287199999999999</v>
    <v>135.19999999999999</v>
    <v>131.01</v>
    <v>282808100</v>
    <v>EA</v>
    <v>ELECTRONIC ARTS INC. (XNAS:EA)</v>
    <v>168</v>
    <v>2450127</v>
    <v>1991</v>
  </rv>
  <rv s="1">
    <v>28</v>
  </rv>
  <rv s="2">
    <v>https://www.bing.com/financeapi/forcetrigger?t=a1ut3m&amp;q=XNAS%3aHON&amp;form=skydnc</v>
    <v>Learn more on Bing</v>
  </rv>
  <rv s="7">
    <v>en-US</v>
    <v>a1ut3m</v>
    <v>268435456</v>
    <v>1</v>
    <v>Powered by Refinitiv</v>
    <v>18</v>
    <v>HONEYWELL INTERNATIONAL INC. (XNAS:HON)</v>
    <v>6</v>
    <v>19</v>
    <v>Finance</v>
    <v>20</v>
    <v>236.86</v>
    <v>194.55</v>
    <v>1.0849</v>
    <v>-2.15</v>
    <v>-1.0516000000000001E-2</v>
    <v>USD</v>
    <v>Honeywell International Inc. is a technology and manufacturing company. The Company operates through four segments: Aerospace, Honeywell Building Technologies, Performance Materials and Technologies, and Safety and Productivity Solutions. The Company's Aerospace segment supplies products, software and services for aircraft and vehicles that it sells to original equipment manufacturers (OEMs) and other customers. The Honeywell Building Technologies segment provides products, software, solutions and technologies that helps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is engaged in providing products and software to customers that manage productivity, workplace safety and asset performance.</v>
    <v>103000</v>
    <v>Nasdaq Stock Market</v>
    <v>XNAS</v>
    <v>XNAS</v>
    <v>855 S. Mint Street, CHARLOTTE, NC, 28202 US</v>
    <v>203.79</v>
    <v>Consumer Goods Conglomerates</v>
    <v>Stock</v>
    <v>44587.04097055547</v>
    <v>30</v>
    <v>197.91</v>
    <v>139267972900</v>
    <v>HONEYWELL INTERNATIONAL INC.</v>
    <v>HONEYWELL INTERNATIONAL INC.</v>
    <v>200.71</v>
    <v>26.023399999999999</v>
    <v>204.45</v>
    <v>202.3</v>
    <v>688423000</v>
    <v>HON</v>
    <v>HONEYWELL INTERNATIONAL INC. (XNAS:HON)</v>
    <v>254</v>
    <v>3065361</v>
    <v>1999</v>
  </rv>
  <rv s="1">
    <v>31</v>
  </rv>
  <rv s="2">
    <v>https://www.bing.com/financeapi/forcetrigger?t=afejkr&amp;q=XFRA%3aLHL&amp;form=skydnc</v>
    <v>Learn more on Bing</v>
  </rv>
  <rv s="3">
    <v>en-US</v>
    <v>afejkr</v>
    <v>268435456</v>
    <v>1</v>
    <v>Powered by Refinitiv</v>
    <v>5</v>
    <v>Lenovo Group Limited (XFRA:LHL)</v>
    <v>6</v>
    <v>21</v>
    <v>Finance</v>
    <v>10</v>
    <v>1.2284999999999999</v>
    <v>0.36899999999999999</v>
    <v>1.0478000000000001</v>
    <v>1.0999999999999999E-2</v>
    <v>1.1591000000000001E-2</v>
    <v>EUR</v>
    <v>Lenovo Group Limited is an investment holding company principally engaged in personal computers and related businesses. The Company’s main products include Think-branded commercial personal computers and Idea-branded consumer personal computers, as well as servers, workstations and a family of mobile Internet devices, including tablets and smart phones. The Company operates its business through four geographical segments, including China, Asia Pacific (AP), Europe, the Middle East and Africa (EMEA) and Americas (AG). The Company also provides cloud service and other related services. The Company distributes its products in domestic market and to overseas markets.</v>
    <v>71500</v>
    <v>Deutsche Boerse AG</v>
    <v>XFRA</v>
    <v>XFRA</v>
    <v>No.10 Xibeiwang East Road, Haidian District, BEIJING, BEIJING, 100085 CN</v>
    <v>0.96499999999999997</v>
    <v>Computers, Phones &amp; Household Electronics</v>
    <v>Stock</v>
    <v>44587.478472222225</v>
    <v>33</v>
    <v>0.95399999999999996</v>
    <v>100307400000</v>
    <v>Lenovo Group Limited</v>
    <v>Lenovo Group Limited</v>
    <v>0.95399999999999996</v>
    <v>7.89</v>
    <v>0.94899999999999995</v>
    <v>0.96</v>
    <v>12041710000</v>
    <v>LHL</v>
    <v>Lenovo Group Limited (XFRA:LHL)</v>
    <v>14361</v>
    <v>1993</v>
  </rv>
  <rv s="1">
    <v>34</v>
  </rv>
  <rv s="2">
    <v>https://en.wikipedia.org/wiki/Microsoft</v>
    <v>Wikipedia</v>
  </rv>
  <rv s="4">
    <v>8</v>
    <v>36</v>
  </rv>
  <rv s="5">
    <v>16</v>
    <v>https://www.bing.com/th?id=AMMS_1435b697418eae5bfbed034f46c28dc4&amp;qlt=95</v>
    <v>37</v>
    <v>0</v>
    <v>https://www.bing.com/images/search?form=xlimg&amp;q=microsoft</v>
    <v>Image of MICROSOFT CORPORATION</v>
  </rv>
  <rv s="2">
    <v>https://www.bing.com/financeapi/forcetrigger?t=a1xzim&amp;q=XNAS%3aMSFT&amp;form=skydnc</v>
    <v>Learn more on Bing</v>
  </rv>
  <rv s="6">
    <v>en-US</v>
    <v>a1xzim</v>
    <v>268435456</v>
    <v>1</v>
    <v>Powered by Refinitiv</v>
    <v>11</v>
    <v>MICROSOFT CORPORATION (XNAS:MSFT)</v>
    <v>13</v>
    <v>14</v>
    <v>Finance</v>
    <v>15</v>
    <v>349.67</v>
    <v>224.22</v>
    <v>0.92910000000000004</v>
    <v>-7.88</v>
    <v>-2.6587999999999997E-2</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REDMOND, WA, 98052-6399 US</v>
    <v>294.99</v>
    <v>38</v>
    <v>Software &amp; IT Services</v>
    <v>Stock</v>
    <v>44587.041661157033</v>
    <v>39</v>
    <v>285.17</v>
    <v>2165977150200</v>
    <v>MICROSOFT CORPORATION</v>
    <v>MICROSOFT CORPORATION</v>
    <v>291.52</v>
    <v>32.249000000000002</v>
    <v>296.37</v>
    <v>288.49</v>
    <v>7507980000</v>
    <v>MSFT</v>
    <v>MICROSOFT CORPORATION (XNAS:MSFT)</v>
    <v>370136</v>
    <v>35602117</v>
    <v>1993</v>
  </rv>
  <rv s="1">
    <v>40</v>
  </rv>
  <rv s="2">
    <v>https://www.bing.com/financeapi/forcetrigger?t=a1wljc&amp;q=XNYS%3aKO&amp;form=skydnc</v>
    <v>Learn more on Bing</v>
  </rv>
  <rv s="7">
    <v>en-US</v>
    <v>a1wljc</v>
    <v>268435456</v>
    <v>1</v>
    <v>Powered by Refinitiv</v>
    <v>18</v>
    <v>THE COCA-COLA COMPANY (XNYS:KO)</v>
    <v>6</v>
    <v>19</v>
    <v>Finance</v>
    <v>15</v>
    <v>61.45</v>
    <v>48.11</v>
    <v>0.65480000000000005</v>
    <v>-0.14000000000000001</v>
    <v>-2.3350000000000003E-3</v>
    <v>USD</v>
    <v>The Coca-Cola Company is a beverage company. The Company owns or licenses and markets non-alcoholic beverage brands, primarily sparkling soft drinks; water, enhanced water and sports drinks; juice, dairy and plant-based beverages; tea and coffee; and energy drinks. The Company's segments include Europe, Middle East and Africa; Latin America; North America; Asia Pacific; Global Ventures; Bottling Investments, and Corporate. The Company markets, manufactures and sells beverage concentrates (beverage bases) and syrups, including fountain syrups and finished sparkling soft drinks and other nonalcoholic beverages. It owns and markets a range of non-alcoholic sparkling soft drink brands, including Coca-Cola, Diet Coke, Fanta and Sprite. The Company's branded beverage products are available to consumers in more than 200 countries and territories through its network of independent bottling partners, distributors, wholesalers and retailers as well as its bottling and distribution operations.</v>
    <v>80300</v>
    <v>New York Stock Exchange</v>
    <v>XNYS</v>
    <v>XNYS</v>
    <v>1 Coca Cola Plz NW, ATLANTA, GA, 30313-2420 US</v>
    <v>60.045000000000002</v>
    <v>Beverages</v>
    <v>Stock</v>
    <v>44587.041100370312</v>
    <v>42</v>
    <v>58.69</v>
    <v>258387704400</v>
    <v>THE COCA-COLA COMPANY</v>
    <v>THE COCA-COLA COMPANY</v>
    <v>59.36</v>
    <v>29.432300000000001</v>
    <v>59.96</v>
    <v>59.82</v>
    <v>4319420000</v>
    <v>KO</v>
    <v>THE COCA-COLA COMPANY (XNYS:KO)</v>
    <v>10722</v>
    <v>17418802</v>
    <v>1919</v>
  </rv>
  <rv s="1">
    <v>43</v>
  </rv>
</rvData>
</file>

<file path=xl/richData/rdrichvaluestructure.xml><?xml version="1.0" encoding="utf-8"?>
<rvStructures xmlns="http://schemas.microsoft.com/office/spreadsheetml/2017/richdata" count="8">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4">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22">
    <spb s="0">
      <v>0</v>
      <v>Name</v>
    </spb>
    <spb s="1">
      <v>0</v>
      <v>0</v>
      <v>0</v>
    </spb>
    <spb s="2">
      <v>1</v>
      <v>1</v>
    </spb>
    <spb s="3">
      <v>1</v>
      <v>1</v>
      <v>2</v>
      <v>1</v>
      <v>1</v>
      <v>1</v>
      <v>3</v>
      <v>1</v>
      <v>1</v>
      <v>1</v>
      <v>4</v>
      <v>5</v>
    </spb>
    <spb s="4">
      <v>GMT</v>
    </spb>
    <spb s="5">
      <v>1</v>
      <v>Name</v>
      <v>LearnMoreOnLink</v>
    </spb>
    <spb s="6">
      <v>1</v>
      <v>1</v>
      <v>1</v>
      <v>1</v>
    </spb>
    <spb s="7">
      <v>6</v>
      <v>7</v>
      <v>7</v>
      <v>6</v>
      <v>2</v>
      <v>6</v>
      <v>6</v>
      <v>6</v>
      <v>8</v>
      <v>8</v>
      <v>3</v>
      <v>9</v>
      <v>6</v>
      <v>6</v>
      <v>6</v>
      <v>4</v>
      <v>10</v>
      <v>5</v>
      <v>8</v>
    </spb>
    <spb s="8">
      <v>Delayed 15 minutes</v>
      <v>from previous close</v>
      <v>from previous close</v>
      <v>LSE</v>
      <v>GMT</v>
    </spb>
    <spb s="7">
      <v>11</v>
      <v>7</v>
      <v>7</v>
      <v>11</v>
      <v>2</v>
      <v>11</v>
      <v>11</v>
      <v>11</v>
      <v>8</v>
      <v>8</v>
      <v>3</v>
      <v>12</v>
      <v>11</v>
      <v>11</v>
      <v>11</v>
      <v>4</v>
      <v>10</v>
      <v>5</v>
      <v>8</v>
    </spb>
    <spb s="9">
      <v>Delayed 15 minutes</v>
      <v>from previous close</v>
      <v>from previous close</v>
      <v>GMT</v>
    </spb>
    <spb s="5">
      <v>2</v>
      <v>Name</v>
      <v>LearnMoreOnLink</v>
    </spb>
    <spb s="10">
      <v>0</v>
      <v>0</v>
    </spb>
    <spb s="11">
      <v>12</v>
      <v>1</v>
      <v>1</v>
      <v>1</v>
      <v>1</v>
    </spb>
    <spb s="12">
      <v>13</v>
      <v>7</v>
      <v>7</v>
      <v>13</v>
      <v>2</v>
      <v>13</v>
      <v>14</v>
      <v>13</v>
      <v>13</v>
      <v>8</v>
      <v>8</v>
      <v>3</v>
      <v>15</v>
      <v>13</v>
      <v>13</v>
      <v>13</v>
      <v>8</v>
      <v>4</v>
      <v>10</v>
      <v>5</v>
      <v>8</v>
    </spb>
    <spb s="8">
      <v>Real-Time Nasdaq Last Sale</v>
      <v>from previous close</v>
      <v>from previous close</v>
      <v>Source: Nasdaq Last Sale</v>
      <v>GMT</v>
    </spb>
    <spb s="13">
      <v>Powered by Refinitiv</v>
    </spb>
    <spb s="7">
      <v>13</v>
      <v>7</v>
      <v>7</v>
      <v>13</v>
      <v>2</v>
      <v>13</v>
      <v>13</v>
      <v>13</v>
      <v>8</v>
      <v>8</v>
      <v>3</v>
      <v>15</v>
      <v>13</v>
      <v>13</v>
      <v>13</v>
      <v>4</v>
      <v>10</v>
      <v>5</v>
      <v>8</v>
    </spb>
    <spb s="5">
      <v>3</v>
      <v>Name</v>
      <v>LearnMoreOnLink</v>
    </spb>
    <spb s="14">
      <v>13</v>
      <v>7</v>
      <v>7</v>
      <v>13</v>
      <v>2</v>
      <v>13</v>
      <v>13</v>
      <v>13</v>
      <v>8</v>
      <v>8</v>
      <v>3</v>
      <v>15</v>
      <v>13</v>
      <v>13</v>
      <v>13</v>
      <v>8</v>
      <v>4</v>
      <v>10</v>
      <v>5</v>
      <v>8</v>
    </spb>
    <spb s="8">
      <v>Delayed 15 minutes</v>
      <v>from previous close</v>
      <v>from previous close</v>
      <v>Source: Nasdaq</v>
      <v>GMT</v>
    </spb>
    <spb s="7">
      <v>11</v>
      <v>7</v>
      <v>7</v>
      <v>11</v>
      <v>2</v>
      <v>11</v>
      <v>11</v>
      <v>11</v>
      <v>8</v>
      <v>8</v>
      <v>3</v>
      <v>16</v>
      <v>11</v>
      <v>11</v>
      <v>11</v>
      <v>4</v>
      <v>10</v>
      <v>5</v>
      <v>8</v>
    </spb>
  </spbData>
</supportingPropertyBags>
</file>

<file path=xl/richData/rdsupportingpropertybagstructure.xml><?xml version="1.0" encoding="utf-8"?>
<spbStructures xmlns="http://schemas.microsoft.com/office/spreadsheetml/2017/richdata2" count="1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4">
    <x:dxf>
      <x:numFmt numFmtId="171" formatCode="_([$$-409]* #,##0.00_);_([$$-409]* \(#,##0.00\);_([$$-409]* &quot;-&quot;??_);_(@_)"/>
    </x:dxf>
    <x:dxf>
      <x:numFmt numFmtId="4" formatCode="#,##0.00"/>
    </x:dxf>
    <x:dxf>
      <x:numFmt numFmtId="3" formatCode="#,##0"/>
    </x:dxf>
    <x:dxf>
      <x:numFmt numFmtId="14" formatCode="0.00%"/>
    </x:dxf>
    <x:dxf>
      <x:numFmt numFmtId="170" formatCode="_([$$-409]* #,##0_);_([$$-409]* \(#,##0\);_([$$-409]* &quot;-&quot;_);_(@_)"/>
    </x:dxf>
    <x:dxf>
      <x:numFmt numFmtId="1" formatCode="0"/>
    </x:dxf>
    <x:dxf>
      <x:numFmt numFmtId="2" formatCode="0.00"/>
    </x:dxf>
    <x:dxf>
      <x:numFmt numFmtId="27" formatCode="d/m/yyyy\ h:mm"/>
    </x:dxf>
    <x:dxf>
      <x:numFmt numFmtId="169" formatCode="_-[$£-809]* #,##0_-;\-[$£-809]* #,##0_-;_-[$£-809]* &quot;-&quot;_-;_-@_-"/>
    </x:dxf>
    <x:dxf>
      <x:numFmt numFmtId="168" formatCode="_([$€-2]\ * #,##0.00_);_([$€-2]\ * \(#,##0.00\);_([$€-2]\ * &quot;-&quot;??_);_(@_)"/>
    </x:dxf>
    <x:dxf>
      <x:numFmt numFmtId="167" formatCode="_-[$$-3C09]* #,##0_-;\-[$$-3C09]* #,##0_-;_-[$$-3C09]* &quot;-&quot;_-;_-@_-"/>
    </x:dxf>
    <x:dxf>
      <x:numFmt numFmtId="166" formatCode="_([$€-2]\ * #,##0_);_([$€-2]\ * \(#,##0\);_([$€-2]\ * &quot;-&quot;_);_(@_)"/>
    </x:dxf>
    <x:dxf>
      <x:numFmt numFmtId="165" formatCode="_(* #,##0.00_);_(* \(#,##0.00\);_(* &quot;-&quot;??_);_(@_)"/>
    </x:dxf>
    <x:dxf>
      <x:numFmt numFmtId="164" formatCode="_-[$$-4809]* #,##0.00_-;\-[$$-4809]* #,##0.00_-;_-[$$-4809]* &quot;-&quot;??_-;_-@_-"/>
    </x:dxf>
  </dxfs>
  <richProperties>
    <rPr n="IsTitleField" t="b"/>
    <rPr n="IsHeroField" t="b"/>
  </richProperties>
  <richStyles>
    <rSty dxfid="13"/>
    <rSty>
      <rpv i="0">1</rpv>
    </rSty>
    <rSty dxfid="3"/>
    <rSty dxfid="7"/>
    <rSty dxfid="6"/>
    <rSty dxfid="12"/>
    <rSty dxfid="1"/>
    <rSty dxfid="2"/>
    <rSty dxfid="8"/>
    <rSty dxfid="5"/>
    <rSty dxfid="9"/>
    <rSty dxfid="11"/>
    <rSty dxfid="0"/>
    <rSty>
      <rpv i="1">1</rpv>
    </rSty>
    <rSty dxfid="4"/>
    <rSty dxfid="1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78FBAC-6578-40D7-BC7B-5202BB44ABFE}" name="Table1" displayName="Table1" ref="C7:D10" totalsRowShown="0" headerRowDxfId="95" dataDxfId="94">
  <autoFilter ref="C7:D10" xr:uid="{A278FBAC-6578-40D7-BC7B-5202BB44ABFE}">
    <filterColumn colId="0" hiddenButton="1"/>
    <filterColumn colId="1" hiddenButton="1"/>
  </autoFilter>
  <tableColumns count="2">
    <tableColumn id="1" xr3:uid="{A72F6BFC-8979-4734-9783-3FB276FBA737}" name="SALARY" dataDxfId="93"/>
    <tableColumn id="2" xr3:uid="{9F98ACD6-1078-46EF-BE19-346A0990C3B8}" name="VALUE" dataDxfId="92"/>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9545D6-34E6-4345-A196-B031C733120F}" name="Table2" displayName="Table2" ref="F7:G9" totalsRowShown="0" headerRowDxfId="91" dataDxfId="90">
  <autoFilter ref="F7:G9" xr:uid="{AA9545D6-34E6-4345-A196-B031C733120F}">
    <filterColumn colId="0" hiddenButton="1"/>
    <filterColumn colId="1" hiddenButton="1"/>
  </autoFilter>
  <tableColumns count="2">
    <tableColumn id="1" xr3:uid="{6CD76BBF-E4DB-4ED9-B066-0723DE25AD9B}" name="SUBSIDY" dataDxfId="89"/>
    <tableColumn id="2" xr3:uid="{9043B370-C72C-4D2F-8015-C47BFC4BD147}" name="VALUE" dataDxfId="88"/>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E9A343-5084-4100-AF8F-09A69ADD6556}" name="Table4" displayName="Table4" ref="I7:J9" totalsRowShown="0" headerRowDxfId="87" dataDxfId="86">
  <autoFilter ref="I7:J9" xr:uid="{F9E9A343-5084-4100-AF8F-09A69ADD6556}">
    <filterColumn colId="0" hiddenButton="1"/>
    <filterColumn colId="1" hiddenButton="1"/>
  </autoFilter>
  <tableColumns count="2">
    <tableColumn id="1" xr3:uid="{91F4CB39-202E-478A-9FF8-D6CA2B0B87A0}" name="INVESTMENTS" dataDxfId="85"/>
    <tableColumn id="2" xr3:uid="{F0300401-6BE5-4876-9352-6779F2A253AB}" name="VALUE" dataDxfId="84"/>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178786-B250-4141-AA4B-EC2178682E16}" name="Table6" displayName="Table6" ref="L7:M9" totalsRowShown="0" headerRowDxfId="83" dataDxfId="82">
  <autoFilter ref="L7:M9" xr:uid="{9D178786-B250-4141-AA4B-EC2178682E16}">
    <filterColumn colId="0" hiddenButton="1"/>
    <filterColumn colId="1" hiddenButton="1"/>
  </autoFilter>
  <tableColumns count="2">
    <tableColumn id="1" xr3:uid="{EDB10D3A-9EB5-447A-AF09-DFD999E889AB}" name="OTHERS" dataDxfId="81"/>
    <tableColumn id="2" xr3:uid="{A1F9FB49-1D46-4AAC-96AA-7D952F23AFE7}" name="VALUE" dataDxfId="80"/>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FA5D7F9-3A65-467A-A7FD-5948C8525982}" name="Table179" displayName="Table179" ref="C11:D14" headerRowDxfId="79" dataDxfId="78" totalsRowDxfId="77">
  <autoFilter ref="C11:D14" xr:uid="{DFA5D7F9-3A65-467A-A7FD-5948C8525982}">
    <filterColumn colId="0" hiddenButton="1"/>
    <filterColumn colId="1" hiddenButton="1"/>
  </autoFilter>
  <tableColumns count="2">
    <tableColumn id="1" xr3:uid="{74866ADF-CC6F-4E2A-A7EB-6BF11498FDBD}" name="HOUSEHOLD EXPENSES" totalsRowLabel="SUBTOTAL" dataDxfId="76" totalsRowDxfId="75"/>
    <tableColumn id="2" xr3:uid="{BE7F1A5D-B95B-4E9F-A040-8F37394E268F}" name="VALUE" totalsRowFunction="custom" dataDxfId="74" totalsRowDxfId="73">
      <totalsRowFormula>SUM(INDIRECT("C12:C"&amp;ROW()-1))</totalsRowFormula>
    </tableColumn>
  </tableColumns>
  <tableStyleInfo name="TableStyleLight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A87F98E-467E-4EC2-A499-873BF6C85D0D}" name="Table17910" displayName="Table17910" ref="F11:G14" totalsRowShown="0" headerRowDxfId="72" dataDxfId="71">
  <autoFilter ref="F11:G14" xr:uid="{EA87F98E-467E-4EC2-A499-873BF6C85D0D}">
    <filterColumn colId="0" hiddenButton="1"/>
    <filterColumn colId="1" hiddenButton="1"/>
  </autoFilter>
  <tableColumns count="2">
    <tableColumn id="1" xr3:uid="{3E7FFCDF-F063-4CED-B4EC-4B49FCE0FF5E}" name="UTILITIES EXPENSES" dataDxfId="70"/>
    <tableColumn id="2" xr3:uid="{81A3A9CB-4B32-4FF7-AFBC-14BCF535F9CC}" name="VALUE" dataDxfId="69"/>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B527E6E-A42F-4620-9954-65C772F50A5F}" name="Table1710" displayName="Table1710" ref="I11:J15" totalsRowShown="0" headerRowDxfId="68" dataDxfId="67">
  <autoFilter ref="I11:J15" xr:uid="{7B527E6E-A42F-4620-9954-65C772F50A5F}">
    <filterColumn colId="0" hiddenButton="1"/>
    <filterColumn colId="1" hiddenButton="1"/>
  </autoFilter>
  <tableColumns count="2">
    <tableColumn id="1" xr3:uid="{0A574827-30BE-48A4-A3DE-B61FC8296D9E}" name="RENTAL EXPENSES" dataDxfId="66"/>
    <tableColumn id="2" xr3:uid="{A847CF9B-CC76-491D-989F-BBD476C083E2}" name="VALUE" dataDxfId="65"/>
  </tableColumns>
  <tableStyleInfo name="TableStyleLight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B9D9B4-3793-43DA-9AF3-1FA64685D2CE}" name="Table1712" displayName="Table1712" ref="O11:P13" totalsRowShown="0" headerRowDxfId="64" dataDxfId="63">
  <autoFilter ref="O11:P13" xr:uid="{E4B9D9B4-3793-43DA-9AF3-1FA64685D2CE}">
    <filterColumn colId="0" hiddenButton="1"/>
    <filterColumn colId="1" hiddenButton="1"/>
  </autoFilter>
  <tableColumns count="2">
    <tableColumn id="1" xr3:uid="{13F8CE45-D312-4CFF-AB81-34079B12D661}" name="BANK LOANS" dataDxfId="62"/>
    <tableColumn id="2" xr3:uid="{DC30CA25-C4C2-400E-94D0-24FE7CC19A5C}" name="VALUE" dataDxfId="61"/>
  </tableColumns>
  <tableStyleInfo name="TableStyleLight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E0DB485-E17C-40B5-B8C1-340A25DE6510}" name="Table171213" displayName="Table171213" ref="L11:M13" totalsRowShown="0" headerRowDxfId="60" dataDxfId="59">
  <autoFilter ref="L11:M13" xr:uid="{9E0DB485-E17C-40B5-B8C1-340A25DE6510}">
    <filterColumn colId="0" hiddenButton="1"/>
    <filterColumn colId="1" hiddenButton="1"/>
  </autoFilter>
  <tableColumns count="2">
    <tableColumn id="1" xr3:uid="{4DB3A526-AF30-4BD4-B931-B36DE3BA1FC4}" name="MORTGAGE LOANS" dataDxfId="58"/>
    <tableColumn id="2" xr3:uid="{2F9E3F96-C5A9-4D40-9CCD-2C8D3AB6329E}" name="VALUE" dataDxfId="57"/>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F22858-3455-40CA-BBFB-B440502E5C99}" name="Table10" displayName="Table10" ref="B11:C24" totalsRowShown="0" headerRowDxfId="56" dataDxfId="54" headerRowBorderDxfId="55" tableBorderDxfId="53" totalsRowBorderDxfId="52" headerRowCellStyle="20% - Accent1" dataCellStyle="20% - Accent1">
  <autoFilter ref="B11:C24" xr:uid="{8FF22858-3455-40CA-BBFB-B440502E5C99}">
    <filterColumn colId="0" hiddenButton="1"/>
    <filterColumn colId="1" hiddenButton="1"/>
  </autoFilter>
  <tableColumns count="2">
    <tableColumn id="1" xr3:uid="{60BBC1CC-B4F4-4C87-ADB9-3199A7A0AAE8}" name="Months" dataDxfId="51" dataCellStyle="20% - Accent1"/>
    <tableColumn id="2" xr3:uid="{0DC16B70-95A0-40C1-83CC-453366F13721}" name="Total" dataDxfId="50" dataCellStyle="20% - Accent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098006-2A6A-4F55-BE44-A514BCDB7014}" name="Table108" displayName="Table108" ref="B30:C43" totalsRowShown="0" headerRowDxfId="49" headerRowBorderDxfId="48" tableBorderDxfId="47" totalsRowBorderDxfId="46" headerRowCellStyle="20% - Accent1">
  <autoFilter ref="B30:C43" xr:uid="{0C098006-2A6A-4F55-BE44-A514BCDB7014}">
    <filterColumn colId="0" hiddenButton="1"/>
    <filterColumn colId="1" hiddenButton="1"/>
  </autoFilter>
  <tableColumns count="2">
    <tableColumn id="1" xr3:uid="{7E4C1A17-1A2B-4F4E-BE57-B62F0E45965F}" name="Months" dataDxfId="45" dataCellStyle="20% - Accent1"/>
    <tableColumn id="2" xr3:uid="{60227414-4B65-4F33-A375-93A9BCAF0F7D}" name="Total" dataDxfId="44" dataCellStyle="20% - Accent1"/>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FE9E32-F099-405B-B7F6-A296D7187092}" name="Table10817" displayName="Table10817" ref="B50:C63" totalsRowShown="0" headerRowDxfId="43" headerRowBorderDxfId="42" tableBorderDxfId="41" totalsRowBorderDxfId="40" headerRowCellStyle="20% - Accent1">
  <autoFilter ref="B50:C63" xr:uid="{29FE9E32-F099-405B-B7F6-A296D7187092}">
    <filterColumn colId="0" hiddenButton="1"/>
    <filterColumn colId="1" hiddenButton="1"/>
  </autoFilter>
  <tableColumns count="2">
    <tableColumn id="1" xr3:uid="{B7146D26-6E59-4277-A5CA-5B7C26E731D3}" name="Months" dataDxfId="39" dataCellStyle="20% - Accent1"/>
    <tableColumn id="2" xr3:uid="{2A362915-77D7-4E20-A60A-C31D78AEEBA9}" name="Total" dataDxfId="38" dataCellStyle="20% - Accent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2806064-3D92-4E5A-A834-74CB825F2305}" name="Table1081715" displayName="Table1081715" ref="B70:C83" totalsRowShown="0" headerRowDxfId="37" headerRowBorderDxfId="36" tableBorderDxfId="35" totalsRowBorderDxfId="34" headerRowCellStyle="20% - Accent1">
  <autoFilter ref="B70:C83" xr:uid="{92806064-3D92-4E5A-A834-74CB825F2305}">
    <filterColumn colId="0" hiddenButton="1"/>
    <filterColumn colId="1" hiddenButton="1"/>
  </autoFilter>
  <tableColumns count="2">
    <tableColumn id="1" xr3:uid="{34B92BBA-62A8-4B11-8DFF-124009259C29}" name="Months" dataDxfId="33" dataCellStyle="20% - Accent1"/>
    <tableColumn id="2" xr3:uid="{CFD48AF0-781D-45B7-8676-628443506D29}" name="Total" dataDxfId="32" dataCellStyle="20% - Accent1"/>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25EE61E-8953-42BF-81DF-816CC9A32647}" name="Table18" displayName="Table18" ref="B90:C103" totalsRowShown="0" headerRowDxfId="31" headerRowBorderDxfId="30" tableBorderDxfId="29" totalsRowBorderDxfId="28" headerRowCellStyle="20% - Accent1">
  <autoFilter ref="B90:C103" xr:uid="{125EE61E-8953-42BF-81DF-816CC9A32647}">
    <filterColumn colId="0" hiddenButton="1"/>
    <filterColumn colId="1" hiddenButton="1"/>
  </autoFilter>
  <tableColumns count="2">
    <tableColumn id="1" xr3:uid="{CA47EB05-3149-4FF2-A2F5-07A7947420EE}" name="Months" dataDxfId="27" dataCellStyle="20% - Accent1"/>
    <tableColumn id="2" xr3:uid="{70671238-892C-4980-AF2A-11EDBE53BC75}" name="Net Worth" dataDxfId="26" dataCellStyle="20% - Accent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14E59DF-A189-4032-9C35-BA957CA859DE}" name="Table108171514" displayName="Table108171514" ref="B109:C112" totalsRowShown="0" headerRowDxfId="25" headerRowBorderDxfId="24" tableBorderDxfId="23" totalsRowBorderDxfId="22" headerRowCellStyle="20% - Accent1">
  <autoFilter ref="B109:C112" xr:uid="{714E59DF-A189-4032-9C35-BA957CA859DE}">
    <filterColumn colId="0" hiddenButton="1"/>
    <filterColumn colId="1" hiddenButton="1"/>
  </autoFilter>
  <tableColumns count="2">
    <tableColumn id="1" xr3:uid="{876CDC7C-4554-4ED9-8948-42E6C4C589F9}" name="Description" dataDxfId="21" dataCellStyle="20% - Accent1"/>
    <tableColumn id="2" xr3:uid="{C1B21A32-5226-4606-9066-E52505A34549}" name="Amount" dataDxfId="20" dataCellStyle="20% - Accent1"/>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265C5B-BB1E-48BE-8E7F-6B7466228922}" name="Table5" displayName="Table5" ref="A4:F76" totalsRowShown="0" headerRowDxfId="19" dataDxfId="18">
  <autoFilter ref="A4:F76" xr:uid="{DF265C5B-BB1E-48BE-8E7F-6B7466228922}">
    <filterColumn colId="0" hiddenButton="1"/>
    <filterColumn colId="1" hiddenButton="1"/>
    <filterColumn colId="2" hiddenButton="1"/>
    <filterColumn colId="3" hiddenButton="1"/>
    <filterColumn colId="4" hiddenButton="1"/>
    <filterColumn colId="5" hiddenButton="1"/>
  </autoFilter>
  <tableColumns count="6">
    <tableColumn id="1" xr3:uid="{1B8D08A0-30CD-4A3A-AAFB-5D68244A3D85}" name="Stock" dataDxfId="17"/>
    <tableColumn id="2" xr3:uid="{A8846CE8-F6FA-4519-B6B2-99F9B38D7016}" name="Transaction" dataDxfId="16"/>
    <tableColumn id="3" xr3:uid="{235941C1-0238-4261-8024-1CA053726F61}" name="Units" dataDxfId="15"/>
    <tableColumn id="4" xr3:uid="{78A4A77F-142D-4077-A19A-55CAD6763F36}" name="Price" dataDxfId="14"/>
    <tableColumn id="5" xr3:uid="{81C63AC5-F267-4110-94A0-8D3862030D40}" name="Currency" dataDxfId="13"/>
    <tableColumn id="6" xr3:uid="{1EFA881E-D2DC-4AC6-B405-3F2C4BCEC69D}" name="Transaction Amount" dataDxfId="12">
      <calculatedColumnFormula>IF(C5*D5="0.00","",C5*D5)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D59FA9F-BBE8-490A-9A92-67295D2A1EA1}" name="Table15" displayName="Table15" ref="A1:F25" totalsRowShown="0">
  <autoFilter ref="A1:F25" xr:uid="{1D59FA9F-BBE8-490A-9A92-67295D2A1EA1}"/>
  <tableColumns count="6">
    <tableColumn id="1" xr3:uid="{127C3D64-0E20-43F3-9ABD-2CF7F956C6E7}" name="Timeline" dataDxfId="11"/>
    <tableColumn id="2" xr3:uid="{308BE369-8B19-4778-9E91-0FB4D363BAC9}" name="Values"/>
    <tableColumn id="3" xr3:uid="{A431CB95-7B04-4B35-99D3-CC62682B4B49}" name="Forecast" dataDxfId="10">
      <calculatedColumnFormula>_xlfn.FORECAST.ETS(A2,$B$2:$B$13,$A$2:$A$13,3,1)</calculatedColumnFormula>
    </tableColumn>
    <tableColumn id="4" xr3:uid="{07C2D4D0-71DA-4080-B784-AADBD63E1FF9}" name="Lower Confidence Bound" dataDxfId="9">
      <calculatedColumnFormula>C2-_xlfn.FORECAST.ETS.CONFINT(A2,$B$2:$B$13,$A$2:$A$13,0.95,3,1)</calculatedColumnFormula>
    </tableColumn>
    <tableColumn id="5" xr3:uid="{7E511716-0D6F-4A66-B849-313BB77FBD66}" name="Upper Confidence Bound" dataDxfId="8">
      <calculatedColumnFormula>C2+_xlfn.FORECAST.ETS.CONFINT(A2,$B$2:$B$13,$A$2:$A$13,0.95,3,1)</calculatedColumnFormula>
    </tableColumn>
    <tableColumn id="6" xr3:uid="{031AA9C9-0308-4798-AD51-2AF464D28294}" name="Column1" dataDxfId="7">
      <calculatedColumnFormula>AVERAGE($C$14:$C$25)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DD2163-915A-4AE7-938D-D66304EE2EC1}" name="Table21" displayName="Table21" ref="A1:E14" totalsRowShown="0">
  <autoFilter ref="A1:E14" xr:uid="{D5DD2163-915A-4AE7-938D-D66304EE2EC1}"/>
  <tableColumns count="5">
    <tableColumn id="1" xr3:uid="{A7871261-E966-4729-8802-5A216A30623F}" name="Timeline" dataDxfId="6"/>
    <tableColumn id="2" xr3:uid="{5347607E-4A81-4150-A255-41671622AB10}" name="Values" dataDxfId="5"/>
    <tableColumn id="3" xr3:uid="{B8CED61A-C436-43ED-8698-D54CBB5B1E78}" name="Forecast"/>
    <tableColumn id="4" xr3:uid="{C1E7B210-0B3E-4C0A-8EBF-E2CED79A42CF}" name="Lower Confidence Bound"/>
    <tableColumn id="5" xr3:uid="{29504420-ED47-49D9-A13D-E910679440A5}" name="Upper Confidence Bound"/>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2BF8A0-8960-41A1-B78B-7D7E339490F3}" name="Table1518" displayName="Table1518" ref="A1:F25" totalsRowShown="0">
  <autoFilter ref="A1:F25" xr:uid="{122BF8A0-8960-41A1-B78B-7D7E339490F3}"/>
  <tableColumns count="6">
    <tableColumn id="1" xr3:uid="{6475728C-1806-4D51-B555-F7C3A2E0C03E}" name="Timeline" dataDxfId="4"/>
    <tableColumn id="2" xr3:uid="{6BBCBB71-DD53-44E4-9507-6426EF14306C}" name="Values"/>
    <tableColumn id="3" xr3:uid="{A48EF586-BC3B-4265-8109-CF48A99B4833}" name="Forecast" dataDxfId="3">
      <calculatedColumnFormula>_xlfn.FORECAST.ETS(A2,$B$2:$B$13,$A$2:$A$13,3,1)</calculatedColumnFormula>
    </tableColumn>
    <tableColumn id="4" xr3:uid="{84412025-247D-4FD7-8B87-5352A84ED3A8}" name="Lower Confidence Bound" dataDxfId="2">
      <calculatedColumnFormula>C2-_xlfn.FORECAST.ETS.CONFINT(A2,$B$2:$B$13,$A$2:$A$13,0.95,3,1)</calculatedColumnFormula>
    </tableColumn>
    <tableColumn id="5" xr3:uid="{A0E07FDE-230D-4EAC-83F8-ECBBB53C206A}" name="Upper Confidence Bound" dataDxfId="1">
      <calculatedColumnFormula>C2+_xlfn.FORECAST.ETS.CONFINT(A2,$B$2:$B$13,$A$2:$A$13,0.95,3,1)</calculatedColumnFormula>
    </tableColumn>
    <tableColumn id="6" xr3:uid="{35E26733-764A-4870-BCC6-771E21C9D9B6}" name="Average of Forecast" dataDxfId="0">
      <calculatedColumnFormula>AVERAGE($C$14:$C$25)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F6CDA-4E1F-409A-BF4D-4B88DF724588}">
  <sheetPr codeName="Sheet2">
    <tabColor rgb="FFC3A2E8"/>
  </sheetPr>
  <dimension ref="A1:V21"/>
  <sheetViews>
    <sheetView zoomScale="80" zoomScaleNormal="80" workbookViewId="0">
      <selection activeCell="L12" sqref="L12"/>
    </sheetView>
  </sheetViews>
  <sheetFormatPr defaultColWidth="8.453125" defaultRowHeight="14.5" x14ac:dyDescent="0.35"/>
  <cols>
    <col min="1" max="5" width="8.453125" style="76"/>
    <col min="6" max="6" width="5.453125" style="76" customWidth="1"/>
    <col min="7" max="7" width="0" style="76" hidden="1" customWidth="1"/>
    <col min="8" max="8" width="12.453125" style="76" customWidth="1"/>
    <col min="9" max="9" width="24.453125" style="76" customWidth="1"/>
    <col min="10" max="10" width="8.453125" style="76" bestFit="1" customWidth="1"/>
    <col min="11" max="11" width="11" style="76" customWidth="1"/>
    <col min="12" max="13" width="8.453125" style="76" customWidth="1"/>
    <col min="14" max="14" width="8.453125" style="76" bestFit="1" customWidth="1"/>
    <col min="15" max="15" width="9.453125" style="76" customWidth="1"/>
    <col min="16" max="16384" width="8.453125" style="76"/>
  </cols>
  <sheetData>
    <row r="1" spans="1:22" ht="14.5" customHeight="1" x14ac:dyDescent="0.35">
      <c r="M1" s="77"/>
      <c r="N1" s="77"/>
      <c r="O1" s="77"/>
      <c r="P1" s="77"/>
      <c r="Q1" s="77"/>
      <c r="R1" s="77"/>
      <c r="S1" s="77"/>
      <c r="T1" s="77"/>
      <c r="U1" s="77"/>
      <c r="V1" s="77"/>
    </row>
    <row r="2" spans="1:22" ht="14.5" customHeight="1" x14ac:dyDescent="0.35">
      <c r="B2" s="132" t="s">
        <v>0</v>
      </c>
      <c r="C2" s="132"/>
      <c r="D2" s="132"/>
      <c r="E2" s="132"/>
      <c r="F2" s="132"/>
      <c r="G2" s="132"/>
      <c r="H2" s="132"/>
      <c r="I2" s="83"/>
      <c r="M2" s="77"/>
      <c r="N2" s="77"/>
      <c r="O2" s="77"/>
      <c r="P2" s="77"/>
      <c r="Q2" s="77"/>
      <c r="R2" s="77"/>
      <c r="S2" s="77"/>
      <c r="T2" s="77"/>
      <c r="U2" s="77"/>
      <c r="V2" s="77"/>
    </row>
    <row r="3" spans="1:22" ht="14.5" customHeight="1" x14ac:dyDescent="0.35">
      <c r="B3" s="132"/>
      <c r="C3" s="132"/>
      <c r="D3" s="132"/>
      <c r="E3" s="132"/>
      <c r="F3" s="132"/>
      <c r="G3" s="132"/>
      <c r="H3" s="132"/>
      <c r="I3" s="83"/>
      <c r="K3" s="85">
        <f ca="1">TODAY()</f>
        <v>44587</v>
      </c>
      <c r="M3" s="77"/>
      <c r="N3" s="77"/>
      <c r="O3" s="77"/>
      <c r="P3" s="77"/>
      <c r="Q3" s="77"/>
      <c r="R3" s="77"/>
      <c r="S3" s="77"/>
      <c r="T3" s="77"/>
      <c r="U3" s="77"/>
      <c r="V3" s="77"/>
    </row>
    <row r="4" spans="1:22" ht="14.5" customHeight="1" x14ac:dyDescent="0.35">
      <c r="B4" s="133"/>
      <c r="C4" s="133"/>
      <c r="D4" s="133"/>
      <c r="E4" s="133"/>
      <c r="F4" s="133"/>
      <c r="G4" s="133"/>
      <c r="H4" s="133"/>
      <c r="I4" s="84"/>
      <c r="J4" s="78"/>
      <c r="K4" s="78"/>
      <c r="L4" s="78"/>
      <c r="M4" s="82"/>
      <c r="N4" s="77"/>
      <c r="O4" s="77"/>
      <c r="P4" s="77"/>
      <c r="Q4" s="77"/>
      <c r="R4" s="77"/>
      <c r="S4" s="77"/>
      <c r="T4" s="77"/>
      <c r="U4" s="77"/>
      <c r="V4" s="77"/>
    </row>
    <row r="5" spans="1:22" ht="14.5" customHeight="1" x14ac:dyDescent="0.35">
      <c r="B5" s="79"/>
      <c r="C5" s="79"/>
      <c r="D5" s="79"/>
      <c r="M5" s="77"/>
      <c r="N5" s="77"/>
      <c r="O5" s="77"/>
      <c r="P5" s="77"/>
      <c r="Q5" s="77"/>
      <c r="R5" s="77"/>
      <c r="S5" s="77"/>
      <c r="T5" s="77"/>
      <c r="U5" s="77"/>
      <c r="V5" s="77"/>
    </row>
    <row r="6" spans="1:22" x14ac:dyDescent="0.35">
      <c r="A6" s="77"/>
      <c r="B6" s="77"/>
      <c r="C6" s="77"/>
      <c r="D6" s="77"/>
      <c r="E6" s="77"/>
      <c r="F6" s="77"/>
      <c r="G6" s="77"/>
      <c r="H6" s="77"/>
      <c r="I6" s="77"/>
      <c r="J6" s="77"/>
      <c r="K6" s="77"/>
      <c r="L6" s="77"/>
      <c r="M6" s="77"/>
      <c r="N6" s="77"/>
      <c r="O6" s="77"/>
      <c r="P6" s="77"/>
      <c r="Q6" s="77"/>
      <c r="R6" s="77"/>
      <c r="S6" s="77"/>
      <c r="T6" s="77"/>
      <c r="U6" s="77"/>
      <c r="V6" s="77"/>
    </row>
    <row r="7" spans="1:22" x14ac:dyDescent="0.35">
      <c r="A7" s="77"/>
      <c r="B7" s="77"/>
      <c r="C7" s="77"/>
      <c r="D7" s="77"/>
      <c r="E7" s="77"/>
      <c r="F7" s="77"/>
      <c r="G7" s="77"/>
      <c r="H7" s="77"/>
      <c r="I7" s="77"/>
      <c r="J7" s="77"/>
      <c r="K7" s="77"/>
      <c r="L7" s="77"/>
      <c r="M7" s="77"/>
      <c r="N7" s="77"/>
      <c r="O7" s="77"/>
      <c r="P7" s="77"/>
      <c r="Q7" s="77"/>
      <c r="R7" s="77"/>
      <c r="S7" s="77"/>
      <c r="T7" s="77"/>
      <c r="U7" s="77"/>
      <c r="V7" s="77"/>
    </row>
    <row r="8" spans="1:22" x14ac:dyDescent="0.35">
      <c r="A8" s="77"/>
      <c r="B8" s="77"/>
      <c r="C8" s="77"/>
      <c r="D8" s="77"/>
      <c r="E8" s="77"/>
      <c r="F8" s="77"/>
      <c r="G8" s="77"/>
      <c r="H8" s="77"/>
      <c r="I8" s="77"/>
      <c r="J8" s="77"/>
      <c r="K8" s="77"/>
      <c r="L8" s="77"/>
      <c r="M8" s="77"/>
      <c r="N8" s="77"/>
      <c r="O8" s="77"/>
      <c r="P8" s="77"/>
      <c r="Q8" s="77"/>
      <c r="R8" s="77"/>
      <c r="S8" s="77"/>
      <c r="T8" s="77"/>
      <c r="U8" s="77"/>
      <c r="V8" s="77"/>
    </row>
    <row r="9" spans="1:22" ht="14.5" customHeight="1" x14ac:dyDescent="0.35">
      <c r="A9" s="77"/>
      <c r="B9" s="77"/>
      <c r="C9" s="77"/>
      <c r="D9" s="77"/>
      <c r="E9" s="77"/>
      <c r="F9" s="77"/>
      <c r="G9" s="77"/>
      <c r="H9" s="77"/>
      <c r="I9" s="77"/>
      <c r="J9" s="77"/>
      <c r="K9" s="77"/>
      <c r="L9" s="77"/>
      <c r="M9" s="77"/>
      <c r="N9" s="77"/>
      <c r="O9" s="77"/>
      <c r="P9" s="77"/>
      <c r="Q9" s="77"/>
      <c r="R9" s="77"/>
      <c r="S9" s="77"/>
      <c r="T9" s="77"/>
      <c r="U9" s="77"/>
      <c r="V9" s="77"/>
    </row>
    <row r="10" spans="1:22" ht="14.5" customHeight="1" x14ac:dyDescent="0.35">
      <c r="A10" s="77"/>
      <c r="B10" s="77"/>
      <c r="C10" s="77"/>
      <c r="D10" s="77"/>
      <c r="E10" s="77"/>
      <c r="F10" s="77"/>
      <c r="G10" s="77"/>
      <c r="H10" s="77"/>
      <c r="I10" s="77"/>
      <c r="J10" s="77"/>
      <c r="K10" s="77"/>
      <c r="L10" s="77"/>
      <c r="M10" s="77"/>
      <c r="N10" s="77"/>
      <c r="O10" s="77"/>
      <c r="P10" s="77"/>
      <c r="Q10" s="77"/>
      <c r="R10" s="77"/>
      <c r="S10" s="77"/>
      <c r="T10" s="77"/>
      <c r="U10" s="77"/>
      <c r="V10" s="77"/>
    </row>
    <row r="11" spans="1:22" ht="14.5" customHeight="1" x14ac:dyDescent="0.35">
      <c r="A11" s="77"/>
      <c r="B11" s="77"/>
      <c r="C11" s="77"/>
      <c r="D11" s="77"/>
      <c r="E11" s="77"/>
      <c r="F11" s="77"/>
      <c r="G11" s="77"/>
      <c r="H11" s="77"/>
      <c r="I11" s="77"/>
      <c r="J11" s="77"/>
      <c r="K11" s="77"/>
      <c r="L11" s="77"/>
      <c r="M11" s="77"/>
      <c r="N11" s="77"/>
      <c r="O11" s="77"/>
      <c r="P11" s="77"/>
      <c r="Q11" s="77"/>
      <c r="R11" s="77"/>
    </row>
    <row r="12" spans="1:22" ht="14.5" customHeight="1" x14ac:dyDescent="0.35"/>
    <row r="13" spans="1:22" x14ac:dyDescent="0.35">
      <c r="P13" s="80"/>
      <c r="Q13" s="80"/>
    </row>
    <row r="14" spans="1:22" x14ac:dyDescent="0.35">
      <c r="K14" s="80"/>
      <c r="L14" s="80"/>
      <c r="M14" s="80"/>
      <c r="N14" s="80"/>
      <c r="O14" s="80"/>
      <c r="P14" s="80"/>
      <c r="Q14" s="80"/>
    </row>
    <row r="15" spans="1:22" ht="14.5" customHeight="1" x14ac:dyDescent="0.35">
      <c r="B15" s="81"/>
      <c r="C15" s="81"/>
      <c r="D15" s="81"/>
      <c r="E15" s="81"/>
      <c r="F15" s="81"/>
      <c r="G15" s="81"/>
      <c r="H15" s="81"/>
      <c r="I15" s="81"/>
      <c r="J15" s="81"/>
      <c r="K15" s="81"/>
      <c r="L15" s="81"/>
      <c r="M15" s="81"/>
      <c r="N15" s="80"/>
      <c r="O15" s="80"/>
      <c r="P15" s="80"/>
      <c r="Q15" s="80"/>
    </row>
    <row r="16" spans="1:22" ht="14.5" customHeight="1" x14ac:dyDescent="0.35">
      <c r="B16" s="81"/>
      <c r="C16" s="81"/>
      <c r="D16" s="81"/>
      <c r="E16" s="81"/>
      <c r="F16" s="81"/>
      <c r="G16" s="81"/>
      <c r="H16" s="81"/>
      <c r="I16" s="81"/>
      <c r="J16" s="81"/>
      <c r="K16" s="81"/>
      <c r="L16" s="81"/>
      <c r="M16" s="81"/>
    </row>
    <row r="21" spans="2:2" x14ac:dyDescent="0.35">
      <c r="B21" s="77"/>
    </row>
  </sheetData>
  <mergeCells count="1">
    <mergeCell ref="B2:H4"/>
  </mergeCells>
  <pageMargins left="0.7" right="0.7" top="0.75" bottom="0.75" header="0.3" footer="0.3"/>
  <pageSetup paperSize="9" scale="58"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9A826-E221-46DF-9F8C-883D11A1C106}">
  <sheetPr codeName="Sheet1">
    <tabColor rgb="FFFFCC99"/>
  </sheetPr>
  <dimension ref="B2:Q25"/>
  <sheetViews>
    <sheetView zoomScaleNormal="100" workbookViewId="0">
      <selection activeCell="C25" sqref="C25"/>
    </sheetView>
  </sheetViews>
  <sheetFormatPr defaultColWidth="8.453125" defaultRowHeight="14.5" x14ac:dyDescent="0.35"/>
  <cols>
    <col min="1" max="1" width="8.453125" style="23"/>
    <col min="2" max="2" width="34.1796875" style="23" customWidth="1"/>
    <col min="3" max="3" width="18.453125" style="23" customWidth="1"/>
    <col min="4" max="4" width="8.453125" style="23"/>
    <col min="5" max="5" width="6.453125" style="23" customWidth="1"/>
    <col min="6" max="6" width="19.453125" style="23" customWidth="1"/>
    <col min="7" max="7" width="8.453125" style="23"/>
    <col min="8" max="8" width="5.81640625" style="23" customWidth="1"/>
    <col min="9" max="9" width="18.453125" style="23" customWidth="1"/>
    <col min="10" max="10" width="7.81640625" style="23" customWidth="1"/>
    <col min="11" max="11" width="6" style="23" customWidth="1"/>
    <col min="12" max="12" width="17.453125" style="23" customWidth="1"/>
    <col min="13" max="16384" width="8.453125" style="23"/>
  </cols>
  <sheetData>
    <row r="2" spans="2:13" x14ac:dyDescent="0.35">
      <c r="B2" s="134" t="s">
        <v>1</v>
      </c>
      <c r="C2" s="134"/>
      <c r="D2" s="134"/>
      <c r="G2" s="24"/>
    </row>
    <row r="3" spans="2:13" x14ac:dyDescent="0.35">
      <c r="B3" s="134"/>
      <c r="C3" s="134"/>
      <c r="D3" s="134"/>
      <c r="F3" s="25" t="s">
        <v>2</v>
      </c>
      <c r="G3" s="24"/>
      <c r="J3" s="136">
        <f ca="1">TODAY()</f>
        <v>44587</v>
      </c>
      <c r="K3" s="136"/>
    </row>
    <row r="4" spans="2:13" ht="15.65" customHeight="1" thickBot="1" x14ac:dyDescent="0.4">
      <c r="B4" s="135"/>
      <c r="C4" s="135"/>
      <c r="D4" s="135"/>
      <c r="E4" s="26"/>
      <c r="F4" s="26"/>
      <c r="G4" s="27"/>
      <c r="H4" s="26"/>
      <c r="I4" s="26"/>
      <c r="J4" s="26"/>
      <c r="K4" s="26"/>
    </row>
    <row r="5" spans="2:13" ht="24" customHeight="1" x14ac:dyDescent="0.35"/>
    <row r="7" spans="2:13" x14ac:dyDescent="0.35">
      <c r="C7" s="23" t="s">
        <v>3</v>
      </c>
      <c r="D7" s="23" t="s">
        <v>4</v>
      </c>
      <c r="F7" s="23" t="s">
        <v>5</v>
      </c>
      <c r="G7" s="23" t="s">
        <v>4</v>
      </c>
      <c r="I7" s="23" t="s">
        <v>6</v>
      </c>
      <c r="J7" s="23" t="s">
        <v>4</v>
      </c>
      <c r="L7" s="23" t="s">
        <v>7</v>
      </c>
      <c r="M7" s="23" t="s">
        <v>4</v>
      </c>
    </row>
    <row r="8" spans="2:13" x14ac:dyDescent="0.35">
      <c r="C8" s="23" t="s">
        <v>8</v>
      </c>
      <c r="D8" s="23">
        <v>1500</v>
      </c>
      <c r="F8" s="23" t="s">
        <v>9</v>
      </c>
      <c r="G8" s="23">
        <v>500</v>
      </c>
      <c r="I8" s="23" t="s">
        <v>10</v>
      </c>
      <c r="J8" s="23">
        <v>500</v>
      </c>
      <c r="L8" s="23" t="s">
        <v>11</v>
      </c>
      <c r="M8" s="23">
        <v>500</v>
      </c>
    </row>
    <row r="9" spans="2:13" x14ac:dyDescent="0.35">
      <c r="C9" s="23" t="s">
        <v>12</v>
      </c>
      <c r="D9" s="23">
        <v>1500</v>
      </c>
      <c r="F9" s="23" t="s">
        <v>13</v>
      </c>
      <c r="G9" s="23">
        <f ca="1">SUM(INDIRECT("G8:G"&amp;ROW()-1))</f>
        <v>500</v>
      </c>
      <c r="I9" s="23" t="s">
        <v>13</v>
      </c>
      <c r="J9" s="23">
        <f ca="1">SUM(INDIRECT("J8:J"&amp;ROW()-1))</f>
        <v>500</v>
      </c>
      <c r="L9" s="23" t="s">
        <v>13</v>
      </c>
      <c r="M9" s="23">
        <f ca="1">SUM(INDIRECT("M8:M"&amp;ROW()-1))</f>
        <v>500</v>
      </c>
    </row>
    <row r="10" spans="2:13" x14ac:dyDescent="0.35">
      <c r="C10" s="23" t="s">
        <v>13</v>
      </c>
      <c r="D10" s="23">
        <f ca="1">SUM(INDIRECT("D8:D"&amp;ROW()-1))</f>
        <v>3000</v>
      </c>
    </row>
    <row r="17" spans="2:17" x14ac:dyDescent="0.35">
      <c r="P17" s="28" t="s">
        <v>14</v>
      </c>
      <c r="Q17" s="28" t="s">
        <v>15</v>
      </c>
    </row>
    <row r="18" spans="2:17" x14ac:dyDescent="0.35">
      <c r="P18" s="28" t="s">
        <v>3</v>
      </c>
      <c r="Q18" s="28">
        <f ca="1">SUM(Table1[VALUE])/2</f>
        <v>3000</v>
      </c>
    </row>
    <row r="19" spans="2:17" x14ac:dyDescent="0.35">
      <c r="P19" s="28" t="s">
        <v>5</v>
      </c>
      <c r="Q19" s="28">
        <f ca="1">SUM(Table2[VALUE])/2</f>
        <v>500</v>
      </c>
    </row>
    <row r="20" spans="2:17" x14ac:dyDescent="0.35">
      <c r="P20" s="28" t="s">
        <v>6</v>
      </c>
      <c r="Q20" s="28">
        <f ca="1">SUM(Table4[VALUE])/2</f>
        <v>500</v>
      </c>
    </row>
    <row r="21" spans="2:17" x14ac:dyDescent="0.35">
      <c r="B21" s="29" t="s">
        <v>16</v>
      </c>
      <c r="P21" s="28" t="s">
        <v>7</v>
      </c>
      <c r="Q21" s="28">
        <f ca="1">SUM(Table6[VALUE])/2</f>
        <v>500</v>
      </c>
    </row>
    <row r="22" spans="2:17" ht="21" x14ac:dyDescent="0.5">
      <c r="B22" s="30">
        <f ca="1">SUM(Table1[VALUE],Table2[VALUE],Table4[VALUE],Table6[VALUE])/2</f>
        <v>4500</v>
      </c>
    </row>
    <row r="24" spans="2:17" x14ac:dyDescent="0.35">
      <c r="B24" s="64"/>
    </row>
    <row r="25" spans="2:17" x14ac:dyDescent="0.35">
      <c r="B25" s="64"/>
    </row>
  </sheetData>
  <mergeCells count="2">
    <mergeCell ref="B2:D4"/>
    <mergeCell ref="J3:K3"/>
  </mergeCells>
  <dataValidations count="2">
    <dataValidation type="decimal" operator="greaterThanOrEqual" allowBlank="1" showInputMessage="1" showErrorMessage="1" sqref="D25" xr:uid="{18822FA6-88BF-4C05-A2D2-4D042E244D8A}">
      <formula1>0</formula1>
    </dataValidation>
    <dataValidation type="decimal" operator="greaterThanOrEqual" allowBlank="1" showInputMessage="1" showErrorMessage="1" errorTitle="Data Validation Error" error="The value inputted must be of a decimal greater than 0!" sqref="G8:G25 J8:J25 M8:M25 D11:D24" xr:uid="{7292DA0C-FE52-4D30-95B0-C9EA63713DB0}">
      <formula1>0</formula1>
    </dataValidation>
  </dataValidations>
  <pageMargins left="0.7" right="0.7" top="0.75" bottom="0.75" header="0.3" footer="0.3"/>
  <pageSetup scale="60" orientation="landscape"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DB175-6015-425D-BC91-4B2699BFFEE5}">
  <sheetPr codeName="Sheet3">
    <tabColor rgb="FFFAA8F2"/>
  </sheetPr>
  <dimension ref="A2:W112"/>
  <sheetViews>
    <sheetView zoomScaleNormal="100" workbookViewId="0">
      <selection activeCell="L12" sqref="L12"/>
    </sheetView>
  </sheetViews>
  <sheetFormatPr defaultColWidth="8.81640625" defaultRowHeight="14.5" x14ac:dyDescent="0.35"/>
  <cols>
    <col min="1" max="1" width="4.1796875" style="57" customWidth="1"/>
    <col min="2" max="2" width="42.453125" style="57" customWidth="1"/>
    <col min="3" max="3" width="22.1796875" style="57" customWidth="1"/>
    <col min="4" max="4" width="11.81640625" style="57" customWidth="1"/>
    <col min="5" max="5" width="6.1796875" style="57" customWidth="1"/>
    <col min="6" max="6" width="21.1796875" style="57" customWidth="1"/>
    <col min="7" max="7" width="8.453125" style="57" customWidth="1"/>
    <col min="8" max="8" width="5.453125" style="57" customWidth="1"/>
    <col min="9" max="9" width="23.453125" style="57" customWidth="1"/>
    <col min="10" max="10" width="11.81640625" style="57" customWidth="1"/>
    <col min="11" max="11" width="6.453125" style="57" customWidth="1"/>
    <col min="12" max="12" width="17.453125" style="57" customWidth="1"/>
    <col min="13" max="13" width="10.453125" style="57" customWidth="1"/>
    <col min="14" max="14" width="5.453125" style="57" customWidth="1"/>
    <col min="15" max="15" width="18.1796875" style="57" customWidth="1"/>
    <col min="16" max="17" width="8.81640625" style="57"/>
    <col min="18" max="18" width="17" style="57" customWidth="1"/>
    <col min="19" max="19" width="11" style="57" hidden="1" customWidth="1"/>
    <col min="20" max="20" width="0" style="57" hidden="1" customWidth="1"/>
    <col min="21" max="16384" width="8.81640625" style="57"/>
  </cols>
  <sheetData>
    <row r="2" spans="2:20" x14ac:dyDescent="0.35">
      <c r="B2" s="137" t="s">
        <v>17</v>
      </c>
      <c r="C2" s="137"/>
      <c r="D2" s="137"/>
      <c r="G2" s="59"/>
    </row>
    <row r="3" spans="2:20" x14ac:dyDescent="0.35">
      <c r="B3" s="137"/>
      <c r="C3" s="137"/>
      <c r="D3" s="137"/>
      <c r="F3" s="60" t="s">
        <v>2</v>
      </c>
      <c r="G3" s="59"/>
      <c r="M3" s="89">
        <f ca="1">TODAY()</f>
        <v>44587</v>
      </c>
    </row>
    <row r="4" spans="2:20" ht="15" thickBot="1" x14ac:dyDescent="0.4">
      <c r="B4" s="138"/>
      <c r="C4" s="138"/>
      <c r="D4" s="138"/>
      <c r="E4" s="61"/>
      <c r="F4" s="61"/>
      <c r="G4" s="62"/>
      <c r="H4" s="61"/>
      <c r="I4" s="61"/>
      <c r="J4" s="61"/>
      <c r="K4" s="61"/>
      <c r="L4" s="61"/>
      <c r="M4" s="61"/>
    </row>
    <row r="5" spans="2:20" ht="31.5" customHeight="1" x14ac:dyDescent="0.35"/>
    <row r="6" spans="2:20" x14ac:dyDescent="0.35">
      <c r="B6" s="98"/>
      <c r="C6" s="139" t="s">
        <v>18</v>
      </c>
      <c r="D6" s="139"/>
      <c r="E6" s="139"/>
      <c r="F6" s="139"/>
      <c r="G6" s="139"/>
      <c r="H6" s="139"/>
      <c r="I6" s="139"/>
      <c r="J6" s="139"/>
      <c r="K6" s="139"/>
      <c r="L6" s="140" t="s">
        <v>19</v>
      </c>
      <c r="M6" s="140"/>
      <c r="N6" s="140"/>
      <c r="O6" s="140"/>
      <c r="P6" s="140"/>
    </row>
    <row r="7" spans="2:20" x14ac:dyDescent="0.35">
      <c r="B7" s="98"/>
      <c r="C7" s="139"/>
      <c r="D7" s="139"/>
      <c r="E7" s="139"/>
      <c r="F7" s="139"/>
      <c r="G7" s="139"/>
      <c r="H7" s="139"/>
      <c r="I7" s="139"/>
      <c r="J7" s="139"/>
      <c r="K7" s="139"/>
      <c r="L7" s="140"/>
      <c r="M7" s="140"/>
      <c r="N7" s="140"/>
      <c r="O7" s="140"/>
      <c r="P7" s="140"/>
    </row>
    <row r="8" spans="2:20" x14ac:dyDescent="0.35">
      <c r="B8" s="97"/>
      <c r="C8" s="97"/>
      <c r="D8" s="97"/>
      <c r="E8" s="97"/>
      <c r="F8" s="97"/>
      <c r="G8" s="97"/>
    </row>
    <row r="9" spans="2:20" x14ac:dyDescent="0.35">
      <c r="Q9" s="100"/>
      <c r="R9" s="100"/>
      <c r="S9" s="100"/>
      <c r="T9" s="100"/>
    </row>
    <row r="10" spans="2:20" x14ac:dyDescent="0.35">
      <c r="Q10" s="100"/>
      <c r="R10" s="100"/>
      <c r="S10" s="100"/>
      <c r="T10" s="100"/>
    </row>
    <row r="11" spans="2:20" x14ac:dyDescent="0.35">
      <c r="C11" s="100" t="s">
        <v>20</v>
      </c>
      <c r="D11" s="101" t="s">
        <v>4</v>
      </c>
      <c r="F11" s="100" t="s">
        <v>21</v>
      </c>
      <c r="G11" s="100" t="s">
        <v>4</v>
      </c>
      <c r="H11" s="100"/>
      <c r="I11" s="100" t="s">
        <v>22</v>
      </c>
      <c r="J11" s="100" t="s">
        <v>4</v>
      </c>
      <c r="L11" s="100" t="s">
        <v>23</v>
      </c>
      <c r="M11" s="100" t="s">
        <v>4</v>
      </c>
      <c r="O11" s="100" t="s">
        <v>24</v>
      </c>
      <c r="P11" s="100" t="s">
        <v>4</v>
      </c>
      <c r="Q11" s="100"/>
      <c r="R11" s="100"/>
      <c r="S11" s="100"/>
      <c r="T11" s="100"/>
    </row>
    <row r="12" spans="2:20" x14ac:dyDescent="0.35">
      <c r="C12" s="100" t="s">
        <v>25</v>
      </c>
      <c r="D12" s="101">
        <v>900</v>
      </c>
      <c r="F12" s="100" t="s">
        <v>26</v>
      </c>
      <c r="G12" s="100">
        <v>100</v>
      </c>
      <c r="H12" s="100"/>
      <c r="I12" s="100" t="s">
        <v>27</v>
      </c>
      <c r="J12" s="100">
        <v>5000</v>
      </c>
      <c r="L12" s="100" t="s">
        <v>28</v>
      </c>
      <c r="M12" s="100">
        <v>50000</v>
      </c>
      <c r="O12" s="100" t="s">
        <v>29</v>
      </c>
      <c r="P12" s="100">
        <v>30000</v>
      </c>
      <c r="Q12" s="100"/>
      <c r="R12" s="100"/>
      <c r="S12" s="100"/>
      <c r="T12" s="100"/>
    </row>
    <row r="13" spans="2:20" x14ac:dyDescent="0.35">
      <c r="C13" s="100" t="s">
        <v>30</v>
      </c>
      <c r="D13" s="101">
        <v>200</v>
      </c>
      <c r="F13" s="100" t="s">
        <v>31</v>
      </c>
      <c r="G13" s="100">
        <v>200</v>
      </c>
      <c r="H13" s="100"/>
      <c r="I13" s="100" t="s">
        <v>32</v>
      </c>
      <c r="J13" s="100">
        <v>1000</v>
      </c>
      <c r="L13" s="100" t="s">
        <v>13</v>
      </c>
      <c r="M13" s="100">
        <f ca="1">SUM(INDIRECT("M12:M"&amp;ROW()-1))</f>
        <v>50000</v>
      </c>
      <c r="O13" s="100" t="s">
        <v>13</v>
      </c>
      <c r="P13" s="100">
        <f ca="1">SUM(INDIRECT("P12:P"&amp;ROW()-1))</f>
        <v>30000</v>
      </c>
      <c r="Q13" s="100"/>
      <c r="R13" s="100"/>
      <c r="S13" s="100"/>
      <c r="T13" s="100"/>
    </row>
    <row r="14" spans="2:20" x14ac:dyDescent="0.35">
      <c r="C14" s="100" t="s">
        <v>13</v>
      </c>
      <c r="D14" s="101">
        <f ca="1">SUM(INDIRECT("D12:D"&amp;ROW()-1))</f>
        <v>1100</v>
      </c>
      <c r="E14" s="100"/>
      <c r="F14" s="100" t="s">
        <v>13</v>
      </c>
      <c r="G14" s="100">
        <f ca="1">SUM(INDIRECT("G12:G"&amp;ROW()-1))</f>
        <v>300</v>
      </c>
      <c r="H14" s="100"/>
      <c r="I14" s="100" t="s">
        <v>33</v>
      </c>
      <c r="J14" s="100">
        <v>2000</v>
      </c>
      <c r="Q14" s="100"/>
      <c r="R14" s="100"/>
      <c r="S14" s="100"/>
      <c r="T14" s="100"/>
    </row>
    <row r="15" spans="2:20" x14ac:dyDescent="0.35">
      <c r="D15" s="100"/>
      <c r="E15" s="100"/>
      <c r="F15" s="100"/>
      <c r="G15" s="100"/>
      <c r="H15" s="100"/>
      <c r="I15" s="100" t="s">
        <v>13</v>
      </c>
      <c r="J15" s="100">
        <f ca="1">SUM(INDIRECT("J12:J"&amp;ROW()-1))</f>
        <v>8000</v>
      </c>
      <c r="Q15" s="100"/>
      <c r="R15" s="100"/>
      <c r="S15" s="100"/>
      <c r="T15" s="100"/>
    </row>
    <row r="16" spans="2:20" ht="14.5" customHeight="1" x14ac:dyDescent="0.35">
      <c r="D16" s="100"/>
      <c r="F16" s="100"/>
      <c r="G16" s="100"/>
      <c r="H16" s="100"/>
      <c r="K16" s="100"/>
      <c r="Q16" s="100"/>
      <c r="R16" s="100"/>
      <c r="S16" s="100"/>
      <c r="T16" s="100"/>
    </row>
    <row r="17" spans="1:22" x14ac:dyDescent="0.35">
      <c r="D17" s="100"/>
      <c r="G17" s="100"/>
      <c r="Q17" s="100"/>
      <c r="R17" s="100"/>
      <c r="S17" s="100"/>
      <c r="T17" s="100"/>
    </row>
    <row r="18" spans="1:22" ht="14.5" customHeight="1" x14ac:dyDescent="0.35">
      <c r="Q18" s="100"/>
      <c r="R18" s="100"/>
      <c r="S18" s="100"/>
      <c r="T18" s="100"/>
    </row>
    <row r="19" spans="1:22" ht="14.5" customHeight="1" x14ac:dyDescent="0.6">
      <c r="I19" s="102"/>
      <c r="Q19" s="100"/>
      <c r="R19" s="100"/>
      <c r="S19" s="100"/>
      <c r="T19" s="100"/>
    </row>
    <row r="20" spans="1:22" ht="27" customHeight="1" x14ac:dyDescent="0.35">
      <c r="Q20" s="100"/>
      <c r="R20" s="100"/>
      <c r="S20" s="100"/>
      <c r="T20" s="100"/>
    </row>
    <row r="21" spans="1:22" ht="14.5" customHeight="1" x14ac:dyDescent="0.35">
      <c r="Q21" s="100"/>
      <c r="R21" s="100"/>
      <c r="S21" s="100"/>
      <c r="T21" s="100"/>
    </row>
    <row r="22" spans="1:22" ht="14.5" customHeight="1" x14ac:dyDescent="0.45">
      <c r="A22" s="99"/>
      <c r="B22" s="104" t="s">
        <v>34</v>
      </c>
      <c r="Q22" s="100"/>
      <c r="R22" s="100"/>
      <c r="S22" s="100"/>
      <c r="T22" s="100"/>
    </row>
    <row r="23" spans="1:22" ht="23.5" customHeight="1" x14ac:dyDescent="0.5">
      <c r="B23" s="105">
        <f ca="1">SUM(Table179[VALUE],Table17910[VALUE],Table1710[VALUE],Table171213[VALUE],,Table1712[VALUE])/2</f>
        <v>89400</v>
      </c>
      <c r="Q23" s="100"/>
      <c r="R23" s="100"/>
      <c r="S23" s="100"/>
      <c r="T23" s="100"/>
    </row>
    <row r="24" spans="1:22" ht="14.5" customHeight="1" x14ac:dyDescent="0.35">
      <c r="Q24" s="100"/>
      <c r="R24" s="100"/>
      <c r="S24" s="100"/>
      <c r="T24" s="100"/>
    </row>
    <row r="25" spans="1:22" ht="14.5" customHeight="1" x14ac:dyDescent="0.35">
      <c r="A25" s="120" t="s">
        <v>35</v>
      </c>
      <c r="B25" s="120" t="s">
        <v>4</v>
      </c>
      <c r="Q25" s="100"/>
      <c r="R25" s="100"/>
      <c r="S25" s="100"/>
      <c r="T25" s="100"/>
    </row>
    <row r="26" spans="1:22" ht="14.5" customHeight="1" x14ac:dyDescent="0.35">
      <c r="A26" s="120" t="s">
        <v>36</v>
      </c>
      <c r="B26" s="120">
        <f ca="1">SUM(Table179[VALUE])/2</f>
        <v>1100</v>
      </c>
      <c r="Q26" s="100"/>
      <c r="R26" s="100"/>
      <c r="S26" s="100"/>
      <c r="T26" s="100"/>
    </row>
    <row r="27" spans="1:22" ht="14.5" customHeight="1" x14ac:dyDescent="0.35">
      <c r="A27" s="120" t="s">
        <v>37</v>
      </c>
      <c r="B27" s="120">
        <f ca="1">SUM(Table17910[VALUE])/2</f>
        <v>300</v>
      </c>
      <c r="Q27" s="100"/>
      <c r="R27" s="100"/>
      <c r="S27" s="100"/>
      <c r="T27" s="100"/>
    </row>
    <row r="28" spans="1:22" ht="14.5" customHeight="1" x14ac:dyDescent="0.35">
      <c r="A28" s="120" t="s">
        <v>38</v>
      </c>
      <c r="B28" s="120">
        <f ca="1">SUM(Table1710[VALUE])/2</f>
        <v>8000</v>
      </c>
      <c r="Q28" s="100"/>
      <c r="R28" s="100"/>
      <c r="S28" s="100"/>
      <c r="T28" s="100"/>
    </row>
    <row r="29" spans="1:22" ht="14.5" customHeight="1" x14ac:dyDescent="0.35">
      <c r="A29" s="120" t="s">
        <v>39</v>
      </c>
      <c r="B29" s="120">
        <f ca="1">SUM(Table171213[VALUE])/2</f>
        <v>50000</v>
      </c>
      <c r="Q29" s="100"/>
      <c r="R29" s="100"/>
      <c r="S29" s="100"/>
      <c r="T29" s="100"/>
    </row>
    <row r="30" spans="1:22" ht="14.5" customHeight="1" x14ac:dyDescent="0.35">
      <c r="A30" s="120" t="s">
        <v>40</v>
      </c>
      <c r="B30" s="120">
        <f ca="1">SUM(Table1712[VALUE])/2</f>
        <v>30000</v>
      </c>
      <c r="Q30" s="100"/>
      <c r="R30" s="100"/>
      <c r="S30" s="100"/>
      <c r="T30" s="101"/>
    </row>
    <row r="31" spans="1:22" ht="14.5" customHeight="1" x14ac:dyDescent="0.35">
      <c r="Q31" s="100"/>
      <c r="R31" s="100"/>
      <c r="S31" s="100"/>
      <c r="T31" s="100"/>
    </row>
    <row r="32" spans="1:22" ht="14.5" customHeight="1" x14ac:dyDescent="0.6">
      <c r="Q32" s="100"/>
      <c r="R32" s="100"/>
      <c r="S32" s="100"/>
      <c r="T32" s="121"/>
      <c r="U32" s="103"/>
      <c r="V32" s="103"/>
    </row>
    <row r="33" spans="17:23" ht="14.5" customHeight="1" x14ac:dyDescent="0.6">
      <c r="Q33" s="100"/>
      <c r="R33" s="100"/>
      <c r="S33" s="100"/>
      <c r="T33" s="121"/>
      <c r="U33" s="103"/>
      <c r="V33" s="103"/>
      <c r="W33" s="103"/>
    </row>
    <row r="34" spans="17:23" ht="14.5" customHeight="1" x14ac:dyDescent="0.6">
      <c r="Q34" s="100"/>
      <c r="R34" s="100"/>
      <c r="S34" s="100"/>
      <c r="T34" s="121"/>
      <c r="U34" s="103"/>
      <c r="V34" s="103"/>
    </row>
    <row r="35" spans="17:23" ht="14.5" customHeight="1" x14ac:dyDescent="0.6">
      <c r="Q35" s="100"/>
      <c r="R35" s="100"/>
      <c r="S35" s="100"/>
      <c r="T35" s="121"/>
      <c r="U35" s="103"/>
      <c r="V35" s="103"/>
    </row>
    <row r="36" spans="17:23" ht="14.5" customHeight="1" x14ac:dyDescent="0.6">
      <c r="Q36" s="100"/>
      <c r="R36" s="121"/>
      <c r="S36" s="121"/>
      <c r="T36" s="100"/>
    </row>
    <row r="37" spans="17:23" ht="14.5" customHeight="1" x14ac:dyDescent="0.6">
      <c r="Q37" s="100"/>
      <c r="R37" s="121"/>
      <c r="S37" s="121"/>
      <c r="T37" s="100"/>
    </row>
    <row r="38" spans="17:23" ht="14.5" customHeight="1" x14ac:dyDescent="0.6">
      <c r="Q38" s="100"/>
      <c r="R38" s="121"/>
      <c r="S38" s="121"/>
      <c r="T38" s="100"/>
    </row>
    <row r="39" spans="17:23" ht="14.5" customHeight="1" x14ac:dyDescent="0.6">
      <c r="Q39" s="100"/>
      <c r="R39" s="121"/>
      <c r="S39" s="121"/>
      <c r="T39" s="100"/>
    </row>
    <row r="40" spans="17:23" ht="14.5" customHeight="1" x14ac:dyDescent="0.35">
      <c r="Q40" s="100"/>
      <c r="R40" s="100"/>
      <c r="S40" s="100"/>
      <c r="T40" s="100"/>
    </row>
    <row r="41" spans="17:23" ht="14.5" customHeight="1" x14ac:dyDescent="0.35">
      <c r="Q41" s="100"/>
      <c r="R41" s="100"/>
      <c r="S41" s="100"/>
      <c r="T41" s="100"/>
    </row>
    <row r="42" spans="17:23" ht="14.5" customHeight="1" x14ac:dyDescent="0.35">
      <c r="Q42" s="100"/>
      <c r="R42" s="100"/>
      <c r="S42" s="100"/>
      <c r="T42" s="100"/>
    </row>
    <row r="43" spans="17:23" ht="14.5" customHeight="1" x14ac:dyDescent="0.35">
      <c r="Q43" s="100"/>
      <c r="R43" s="100"/>
      <c r="S43" s="100"/>
      <c r="T43" s="100"/>
    </row>
    <row r="44" spans="17:23" ht="14.5" customHeight="1" x14ac:dyDescent="0.35">
      <c r="Q44" s="100"/>
      <c r="R44" s="100"/>
      <c r="S44" s="100"/>
      <c r="T44" s="100"/>
    </row>
    <row r="45" spans="17:23" ht="14.5" customHeight="1" x14ac:dyDescent="0.35">
      <c r="Q45" s="100"/>
      <c r="R45" s="100"/>
      <c r="S45" s="100"/>
      <c r="T45" s="100"/>
    </row>
    <row r="46" spans="17:23" ht="14.5" customHeight="1" x14ac:dyDescent="0.35">
      <c r="Q46" s="100"/>
      <c r="R46" s="100"/>
      <c r="S46" s="100"/>
      <c r="T46" s="100"/>
    </row>
    <row r="47" spans="17:23" ht="14.5" customHeight="1" x14ac:dyDescent="0.35">
      <c r="Q47" s="100"/>
      <c r="R47" s="100"/>
      <c r="S47" s="100"/>
      <c r="T47" s="100"/>
    </row>
    <row r="48" spans="17:23" ht="14.5" customHeight="1" x14ac:dyDescent="0.35">
      <c r="Q48" s="100"/>
      <c r="R48" s="100"/>
      <c r="S48" s="100"/>
      <c r="T48" s="100"/>
    </row>
    <row r="49" ht="14.5" customHeight="1" x14ac:dyDescent="0.35"/>
    <row r="50" ht="14.5" customHeight="1" x14ac:dyDescent="0.35"/>
    <row r="51" ht="14.5" customHeight="1" x14ac:dyDescent="0.35"/>
    <row r="52" ht="14.5" customHeight="1" x14ac:dyDescent="0.35"/>
    <row r="53" ht="14.5" customHeight="1" x14ac:dyDescent="0.35"/>
    <row r="54" ht="14.5" customHeight="1" x14ac:dyDescent="0.35"/>
    <row r="55" ht="14.5" customHeight="1" x14ac:dyDescent="0.35"/>
    <row r="56" ht="14.5" customHeight="1" x14ac:dyDescent="0.35"/>
    <row r="57" ht="14.5" customHeight="1" x14ac:dyDescent="0.35"/>
    <row r="58" ht="14.5" customHeight="1" x14ac:dyDescent="0.35"/>
    <row r="59" ht="14.5" customHeight="1" x14ac:dyDescent="0.35"/>
    <row r="60" ht="14.5" customHeight="1" x14ac:dyDescent="0.35"/>
    <row r="61" ht="14.5" customHeight="1" x14ac:dyDescent="0.35"/>
    <row r="62" ht="14.5" customHeight="1" x14ac:dyDescent="0.35"/>
    <row r="63" ht="14.5" customHeight="1" x14ac:dyDescent="0.35"/>
    <row r="64" ht="14.5" customHeight="1" x14ac:dyDescent="0.35"/>
    <row r="65" ht="14.5" customHeight="1" x14ac:dyDescent="0.35"/>
    <row r="66" ht="14.5" customHeight="1" x14ac:dyDescent="0.35"/>
    <row r="67" ht="14.5" customHeight="1" x14ac:dyDescent="0.35"/>
    <row r="68" ht="14.5" customHeight="1" x14ac:dyDescent="0.35"/>
    <row r="69" ht="14.5" customHeight="1" x14ac:dyDescent="0.35"/>
    <row r="70" ht="14.5" customHeight="1" x14ac:dyDescent="0.35"/>
    <row r="71" ht="14.5" customHeight="1" x14ac:dyDescent="0.35"/>
    <row r="72" ht="14.5" customHeight="1" x14ac:dyDescent="0.35"/>
    <row r="73" ht="14.5" customHeight="1" x14ac:dyDescent="0.35"/>
    <row r="74" ht="14.5" customHeight="1" x14ac:dyDescent="0.35"/>
    <row r="75" ht="14.5" customHeight="1" x14ac:dyDescent="0.35"/>
    <row r="76" ht="14.5" customHeight="1" x14ac:dyDescent="0.35"/>
    <row r="77" ht="14.5" customHeight="1" x14ac:dyDescent="0.35"/>
    <row r="78" ht="14.5" customHeight="1" x14ac:dyDescent="0.35"/>
    <row r="79" ht="14.5" customHeight="1" x14ac:dyDescent="0.35"/>
    <row r="80" ht="14.5" customHeight="1" x14ac:dyDescent="0.35"/>
    <row r="81" ht="14.5" customHeight="1" x14ac:dyDescent="0.35"/>
    <row r="82" ht="14.5" customHeight="1" x14ac:dyDescent="0.35"/>
    <row r="83" ht="14.5" customHeight="1" x14ac:dyDescent="0.35"/>
    <row r="84" ht="14.5" customHeight="1" x14ac:dyDescent="0.35"/>
    <row r="85" ht="14.5" customHeight="1" x14ac:dyDescent="0.35"/>
    <row r="86" ht="14.5" customHeight="1" x14ac:dyDescent="0.35"/>
    <row r="87" ht="14.5" customHeight="1" x14ac:dyDescent="0.35"/>
    <row r="88" ht="14.5" customHeight="1" x14ac:dyDescent="0.35"/>
    <row r="89" ht="14.5" customHeight="1" x14ac:dyDescent="0.35"/>
    <row r="90" ht="14.5" customHeight="1" x14ac:dyDescent="0.35"/>
    <row r="91" ht="14.5" customHeight="1" x14ac:dyDescent="0.35"/>
    <row r="92" ht="14.5" customHeight="1" x14ac:dyDescent="0.35"/>
    <row r="93" ht="14.5" customHeight="1" x14ac:dyDescent="0.35"/>
    <row r="94" ht="14.5" customHeight="1" x14ac:dyDescent="0.35"/>
    <row r="95" ht="14.5" customHeight="1" x14ac:dyDescent="0.35"/>
    <row r="96" ht="14.5" customHeight="1" x14ac:dyDescent="0.35"/>
    <row r="97" ht="14.5" customHeight="1" x14ac:dyDescent="0.35"/>
    <row r="98" ht="14.5" customHeight="1" x14ac:dyDescent="0.35"/>
    <row r="99" ht="14.5" customHeight="1" x14ac:dyDescent="0.35"/>
    <row r="100" ht="14.5" customHeight="1" x14ac:dyDescent="0.35"/>
    <row r="101" ht="14.5" customHeight="1" x14ac:dyDescent="0.35"/>
    <row r="102" ht="14.5" customHeight="1" x14ac:dyDescent="0.35"/>
    <row r="103" ht="14.5" customHeight="1" x14ac:dyDescent="0.35"/>
    <row r="104" ht="14.5" customHeight="1" x14ac:dyDescent="0.35"/>
    <row r="105" ht="14.5" customHeight="1" x14ac:dyDescent="0.35"/>
    <row r="106" ht="14.5" customHeight="1" x14ac:dyDescent="0.35"/>
    <row r="107" ht="14.5" customHeight="1" x14ac:dyDescent="0.35"/>
    <row r="108" ht="14.5" customHeight="1" x14ac:dyDescent="0.35"/>
    <row r="109" ht="14.5" customHeight="1" x14ac:dyDescent="0.35"/>
    <row r="110" ht="14.5" customHeight="1" x14ac:dyDescent="0.35"/>
    <row r="111" ht="14.5" customHeight="1" x14ac:dyDescent="0.35"/>
    <row r="112" ht="14.5" customHeight="1" x14ac:dyDescent="0.35"/>
  </sheetData>
  <mergeCells count="3">
    <mergeCell ref="B2:D4"/>
    <mergeCell ref="C6:K7"/>
    <mergeCell ref="L6:P7"/>
  </mergeCells>
  <phoneticPr fontId="13" type="noConversion"/>
  <dataValidations count="2">
    <dataValidation type="decimal" allowBlank="1" showInputMessage="1" showErrorMessage="1" error="Data Cannot be lesser than 0" sqref="D1:D11 D15:D1048576" xr:uid="{8403770A-EEDF-4577-BDD0-DE2036B64A1A}">
      <formula1>0</formula1>
      <formula2>100000</formula2>
    </dataValidation>
    <dataValidation type="decimal" allowBlank="1" showInputMessage="1" showErrorMessage="1" error="Data cannot be lesser than 0" sqref="G1:G11 G15:G1048576" xr:uid="{F3F5C9BD-D535-487A-AD13-A10F436E2E72}">
      <formula1>0</formula1>
      <formula2>1000000</formula2>
    </dataValidation>
  </dataValidations>
  <pageMargins left="0.7" right="0.7" top="0.75" bottom="0.75" header="0.3" footer="0.3"/>
  <pageSetup scale="43" orientation="landscape"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4B1-956F-4EDB-865F-80AFBA416ADD}">
  <sheetPr codeName="Sheet4">
    <tabColor theme="8" tint="-0.499984740745262"/>
  </sheetPr>
  <dimension ref="A2:P27"/>
  <sheetViews>
    <sheetView zoomScaleNormal="100" workbookViewId="0">
      <selection activeCell="A2" sqref="A2:A4"/>
    </sheetView>
  </sheetViews>
  <sheetFormatPr defaultColWidth="8.81640625" defaultRowHeight="14.5" x14ac:dyDescent="0.35"/>
  <cols>
    <col min="1" max="1" width="50.453125" style="2" customWidth="1"/>
    <col min="2" max="2" width="42.453125" style="2" customWidth="1"/>
    <col min="3" max="3" width="16.81640625" style="2" customWidth="1"/>
    <col min="4" max="4" width="23" style="2" customWidth="1"/>
    <col min="5" max="5" width="19" style="2" customWidth="1"/>
    <col min="6" max="6" width="14.453125" style="2" customWidth="1"/>
    <col min="7" max="7" width="18.81640625" style="2" customWidth="1"/>
    <col min="8" max="8" width="15.1796875" style="2" customWidth="1"/>
    <col min="9" max="10" width="8.81640625" style="2"/>
    <col min="11" max="11" width="17.1796875" style="2" customWidth="1"/>
    <col min="12" max="13" width="8.81640625" style="2"/>
    <col min="14" max="14" width="39.453125" style="2" customWidth="1"/>
    <col min="15" max="15" width="15.453125" style="2" customWidth="1"/>
    <col min="16" max="16384" width="8.81640625" style="2"/>
  </cols>
  <sheetData>
    <row r="2" spans="1:16" x14ac:dyDescent="0.35">
      <c r="A2" s="143" t="s">
        <v>41</v>
      </c>
      <c r="B2" s="141" t="s">
        <v>42</v>
      </c>
      <c r="C2" s="141"/>
      <c r="D2" s="141"/>
      <c r="G2" s="3"/>
      <c r="M2" s="107"/>
      <c r="N2" s="107"/>
      <c r="O2" s="107"/>
      <c r="P2" s="107"/>
    </row>
    <row r="3" spans="1:16" ht="12.65" customHeight="1" x14ac:dyDescent="0.35">
      <c r="A3" s="143"/>
      <c r="B3" s="141"/>
      <c r="C3" s="141"/>
      <c r="D3" s="141"/>
      <c r="F3" s="4" t="s">
        <v>2</v>
      </c>
      <c r="G3" s="3"/>
      <c r="K3" s="86">
        <f ca="1">TODAY()</f>
        <v>44587</v>
      </c>
      <c r="M3" s="107"/>
      <c r="N3" s="108" t="s">
        <v>43</v>
      </c>
      <c r="O3" s="108" t="s">
        <v>44</v>
      </c>
      <c r="P3" s="107"/>
    </row>
    <row r="4" spans="1:16" ht="11.15" customHeight="1" thickBot="1" x14ac:dyDescent="0.4">
      <c r="A4" s="143"/>
      <c r="B4" s="142"/>
      <c r="C4" s="142"/>
      <c r="D4" s="142"/>
      <c r="E4" s="5"/>
      <c r="F4" s="5"/>
      <c r="G4" s="6"/>
      <c r="H4" s="5"/>
      <c r="I4" s="5"/>
      <c r="J4" s="5"/>
      <c r="K4" s="5"/>
      <c r="M4" s="107"/>
      <c r="N4" s="108" t="str" cm="1">
        <f t="array" ref="N4:N7">_xlfn.UNIQUE(D11:D14)</f>
        <v>Pharmaceuticals</v>
      </c>
      <c r="O4" s="108" cm="1">
        <f t="array" ref="O4:O7">SUMIF(D11:D14,_xlfn.ANCHORARRAY(N4),F11:F14)</f>
        <v>2530</v>
      </c>
      <c r="P4" s="107"/>
    </row>
    <row r="5" spans="1:16" x14ac:dyDescent="0.35">
      <c r="M5" s="107"/>
      <c r="N5" s="108" t="str">
        <v>Textiles &amp; Apparel</v>
      </c>
      <c r="O5" s="108">
        <v>3674.25</v>
      </c>
      <c r="P5" s="107"/>
    </row>
    <row r="6" spans="1:16" x14ac:dyDescent="0.35">
      <c r="M6" s="107"/>
      <c r="N6" s="108" t="str">
        <v>Software &amp; IT Services</v>
      </c>
      <c r="O6" s="108">
        <v>2538.6999999999998</v>
      </c>
      <c r="P6" s="107"/>
    </row>
    <row r="7" spans="1:16" x14ac:dyDescent="0.35">
      <c r="M7" s="107"/>
      <c r="N7" s="108" t="str">
        <v>Computers, Phones &amp; Household Electronics</v>
      </c>
      <c r="O7" s="108">
        <v>2396.6999999999998</v>
      </c>
      <c r="P7" s="107"/>
    </row>
    <row r="8" spans="1:16" ht="21" x14ac:dyDescent="0.5">
      <c r="B8" s="21" t="s">
        <v>45</v>
      </c>
      <c r="C8" s="14"/>
      <c r="D8" s="14"/>
      <c r="E8" s="14"/>
      <c r="F8" s="14"/>
      <c r="G8" s="14" t="e" vm="1">
        <v>#VALUE!</v>
      </c>
      <c r="H8" s="14" t="str" cm="1">
        <f t="array" ref="H8">TEXT(_FV(G8,"Price"),IF(_FV(G8,"Price")-_FV(G8,"Previous close",TRUE)&gt;0,"$0.0000▲","$0.0000▼"))</f>
        <v>$1.3441▼</v>
      </c>
      <c r="M8" s="107"/>
      <c r="N8" s="107"/>
      <c r="O8" s="107"/>
      <c r="P8" s="107"/>
    </row>
    <row r="9" spans="1:16" ht="18.5" x14ac:dyDescent="0.45">
      <c r="B9" s="13"/>
      <c r="C9" s="14"/>
      <c r="D9" s="14"/>
      <c r="E9" s="15" t="s">
        <v>46</v>
      </c>
      <c r="F9" s="22">
        <f>SUM(F11:F101)</f>
        <v>21927.430000000004</v>
      </c>
      <c r="G9" s="15" t="s">
        <v>47</v>
      </c>
      <c r="H9" s="14">
        <f>SUM(H10:H101)</f>
        <v>215.42999999999938</v>
      </c>
      <c r="M9" s="107"/>
      <c r="N9" s="107"/>
      <c r="O9" s="107"/>
      <c r="P9" s="107"/>
    </row>
    <row r="10" spans="1:16" x14ac:dyDescent="0.35">
      <c r="B10" s="20" t="s">
        <v>48</v>
      </c>
      <c r="C10" s="20" t="s">
        <v>49</v>
      </c>
      <c r="D10" s="20" t="s">
        <v>43</v>
      </c>
      <c r="E10" s="20" t="s">
        <v>50</v>
      </c>
      <c r="F10" s="20" t="s">
        <v>51</v>
      </c>
      <c r="G10" s="20" t="s">
        <v>52</v>
      </c>
      <c r="H10" s="20" t="s">
        <v>53</v>
      </c>
      <c r="M10" s="107"/>
      <c r="N10" s="107"/>
      <c r="O10" s="107"/>
      <c r="P10" s="107"/>
    </row>
    <row r="11" spans="1:16" ht="17.25" customHeight="1" x14ac:dyDescent="0.35">
      <c r="B11" s="16" t="e" cm="1" vm="2">
        <f t="array" ref="B11:B21">_xlfn._xlws.SORT(_xlfn.UNIQUE(_xlfn._xlws.FILTER(Table5[Stock],SUMIF(Table5[Stock],Table5[Stock],Table5[Units])&lt;&gt;0)))</f>
        <v>#VALUE!</v>
      </c>
      <c r="C11" s="16" cm="1">
        <f t="array" ref="C11:C21">SUMIF(Table5[Stock],_xlfn.ANCHORARRAY(B11),Table5[Units])</f>
        <v>2</v>
      </c>
      <c r="D11" s="16" t="str" cm="1">
        <f t="array" ref="D11">IFERROR(_FV(Investments!$B11,"Industry"),"")</f>
        <v>Pharmaceuticals</v>
      </c>
      <c r="E11" s="17" cm="1">
        <f t="array" ref="E11">IFERROR(_FV(Investments!$B11,"Price"),"")</f>
        <v>1265</v>
      </c>
      <c r="F11" s="18">
        <f t="shared" ref="F11:F12" si="0">IFERROR(E11*C11,"")</f>
        <v>2530</v>
      </c>
      <c r="G11" s="18" cm="1">
        <f t="array" ref="G11">IFERROR(_FV(Investments!$B11,"Change")*C11,"")</f>
        <v>-20</v>
      </c>
      <c r="H11" s="19">
        <f>-SUMIF(Table5[Stock],B11,Table5[Transaction Amount])+F11</f>
        <v>2330</v>
      </c>
      <c r="N11" s="106"/>
      <c r="O11" s="106"/>
    </row>
    <row r="12" spans="1:16" ht="18" customHeight="1" x14ac:dyDescent="0.35">
      <c r="B12" s="16" t="e" vm="3">
        <v>#VALUE!</v>
      </c>
      <c r="C12" s="16">
        <v>15</v>
      </c>
      <c r="D12" s="16" t="str" cm="1">
        <f t="array" ref="D12">IFERROR(_FV(Investments!$B12,"Industry"),"")</f>
        <v>Textiles &amp; Apparel</v>
      </c>
      <c r="E12" s="17" cm="1">
        <f t="array" ref="E12">IFERROR(_FV(Investments!$B12,"Price"),"")</f>
        <v>244.95</v>
      </c>
      <c r="F12" s="18">
        <f t="shared" si="0"/>
        <v>3674.25</v>
      </c>
      <c r="G12" s="18" cm="1">
        <f t="array" ref="G12">IFERROR(_FV(Investments!$B12,"Change")*C12,"")</f>
        <v>90.75</v>
      </c>
      <c r="H12" s="19">
        <f>-SUMIF(Table5[Stock],B12,Table5[Transaction Amount])+F12</f>
        <v>2174.25</v>
      </c>
      <c r="N12" s="106"/>
      <c r="O12" s="106"/>
    </row>
    <row r="13" spans="1:16" ht="18" customHeight="1" x14ac:dyDescent="0.35">
      <c r="B13" s="16" t="e" vm="4">
        <v>#VALUE!</v>
      </c>
      <c r="C13" s="16">
        <v>1</v>
      </c>
      <c r="D13" s="16" t="str" cm="1">
        <f t="array" ref="D13">IFERROR(_FV(Investments!$B13,"Industry"),"")</f>
        <v>Software &amp; IT Services</v>
      </c>
      <c r="E13" s="17" cm="1">
        <f t="array" ref="E13">IFERROR(_FV(Investments!$B13,"Price"),"")</f>
        <v>2538.6999999999998</v>
      </c>
      <c r="F13" s="18">
        <f>IFERROR(E13*C13,"")</f>
        <v>2538.6999999999998</v>
      </c>
      <c r="G13" s="18" cm="1">
        <f t="array" ref="G13">IFERROR(_FV(Investments!$B13,"Change")*C13,"")</f>
        <v>-77.38</v>
      </c>
      <c r="H13" s="19">
        <f>-SUMIF(Table5[Stock],B13,Table5[Transaction Amount])+F13</f>
        <v>438.69999999999982</v>
      </c>
    </row>
    <row r="14" spans="1:16" ht="15.75" customHeight="1" x14ac:dyDescent="0.35">
      <c r="B14" s="16" t="e" vm="5">
        <v>#VALUE!</v>
      </c>
      <c r="C14" s="16">
        <v>15</v>
      </c>
      <c r="D14" s="16" t="str" cm="1">
        <f t="array" ref="D14">IFERROR(_FV(Investments!$B14,"Industry"),"")</f>
        <v>Computers, Phones &amp; Household Electronics</v>
      </c>
      <c r="E14" s="17" cm="1">
        <f t="array" ref="E14">IFERROR(_FV(Investments!$B14,"Price"),"")</f>
        <v>159.78</v>
      </c>
      <c r="F14" s="18">
        <f>IFERROR(E14*C14,"")</f>
        <v>2396.6999999999998</v>
      </c>
      <c r="G14" s="18" cm="1">
        <f t="array" ref="G14">IFERROR(_FV(Investments!$B14,"Change")*C14,"")</f>
        <v>-27.6</v>
      </c>
      <c r="H14" s="19">
        <f>-SUMIF(Table5[Stock],B14,Table5[Transaction Amount])+F14</f>
        <v>896.69999999999982</v>
      </c>
    </row>
    <row r="15" spans="1:16" ht="17.25" customHeight="1" x14ac:dyDescent="0.35">
      <c r="B15" s="16" t="e" vm="6">
        <v>#VALUE!</v>
      </c>
      <c r="C15" s="16">
        <v>15</v>
      </c>
      <c r="D15" s="16" t="str" cm="1">
        <f t="array" ref="D15">IFERROR(_FV(Investments!$B15,"Industry"),"")</f>
        <v>Miscellaneous Educational Service Providers</v>
      </c>
      <c r="E15" s="17" cm="1">
        <f t="array" ref="E15">IFERROR(_FV(Investments!$B15,"Price"),"")</f>
        <v>0.16</v>
      </c>
      <c r="F15" s="18">
        <f t="shared" ref="F15" si="1">IFERROR(E15*C15,"")</f>
        <v>2.4</v>
      </c>
      <c r="G15" s="18" cm="1">
        <f t="array" ref="G15">IFERROR(_FV(Investments!$B15,"Change")*C15,"")</f>
        <v>0</v>
      </c>
      <c r="H15" s="19">
        <f>-SUMIF(Table5[Stock],B15,Table5[Transaction Amount])+F15</f>
        <v>-1497.6</v>
      </c>
    </row>
    <row r="16" spans="1:16" ht="17.25" customHeight="1" x14ac:dyDescent="0.35">
      <c r="B16" s="16" t="e" vm="7">
        <v>#VALUE!</v>
      </c>
      <c r="C16" s="16">
        <v>15</v>
      </c>
      <c r="D16" s="16" t="str" cm="1">
        <f t="array" ref="D16">IFERROR(_FV(Investments!$B16,"Industry"),"")</f>
        <v>Computers, Phones &amp; Household Electronics</v>
      </c>
      <c r="E16" s="17" cm="1">
        <f t="array" ref="E16">IFERROR(_FV(Investments!$B16,"Price"),"")</f>
        <v>55.44</v>
      </c>
      <c r="F16" s="18">
        <f t="shared" ref="F16:F21" si="2">IFERROR(E16*C16,"")</f>
        <v>831.59999999999991</v>
      </c>
      <c r="G16" s="18" cm="1">
        <f t="array" ref="G16">IFERROR(_FV(Investments!$B16,"Change")*C16,"")</f>
        <v>0.3</v>
      </c>
      <c r="H16" s="19">
        <f>-SUMIF(Table5[Stock],B16,Table5[Transaction Amount])+F16</f>
        <v>-668.40000000000009</v>
      </c>
    </row>
    <row r="17" spans="1:12" ht="18" customHeight="1" x14ac:dyDescent="0.35">
      <c r="B17" s="16" t="e" vm="8">
        <v>#VALUE!</v>
      </c>
      <c r="C17" s="16">
        <v>15</v>
      </c>
      <c r="D17" s="16" t="str" cm="1">
        <f t="array" ref="D17">IFERROR(_FV(Investments!$B17,"Industry"),"")</f>
        <v>Software &amp; IT Services</v>
      </c>
      <c r="E17" s="17" cm="1">
        <f t="array" ref="E17">IFERROR(_FV(Investments!$B17,"Price"),"")</f>
        <v>131.01</v>
      </c>
      <c r="F17" s="18">
        <f t="shared" si="2"/>
        <v>1965.1499999999999</v>
      </c>
      <c r="G17" s="18" cm="1">
        <f t="array" ref="G17">IFERROR(_FV(Investments!$B17,"Change")*C17,"")</f>
        <v>-62.850000000000009</v>
      </c>
      <c r="H17" s="19">
        <f>-SUMIF(Table5[Stock],B17,Table5[Transaction Amount])+F17</f>
        <v>465.14999999999986</v>
      </c>
    </row>
    <row r="18" spans="1:12" ht="16.5" customHeight="1" x14ac:dyDescent="0.35">
      <c r="B18" s="16" t="e" vm="9">
        <v>#VALUE!</v>
      </c>
      <c r="C18" s="16">
        <v>25</v>
      </c>
      <c r="D18" s="16" t="str" cm="1">
        <f t="array" ref="D18">IFERROR(_FV(Investments!$B18,"Industry"),"")</f>
        <v>Consumer Goods Conglomerates</v>
      </c>
      <c r="E18" s="17" cm="1">
        <f t="array" ref="E18">IFERROR(_FV(Investments!$B18,"Price"),"")</f>
        <v>202.3</v>
      </c>
      <c r="F18" s="18">
        <f t="shared" si="2"/>
        <v>5057.5</v>
      </c>
      <c r="G18" s="18" cm="1">
        <f t="array" ref="G18">IFERROR(_FV(Investments!$B18,"Change")*C18,"")</f>
        <v>-53.75</v>
      </c>
      <c r="H18" s="19">
        <f>-SUMIF(Table5[Stock],B18,Table5[Transaction Amount])+F18</f>
        <v>-1192.5</v>
      </c>
    </row>
    <row r="19" spans="1:12" ht="17.25" customHeight="1" x14ac:dyDescent="0.35">
      <c r="B19" s="16" t="e" vm="10">
        <v>#VALUE!</v>
      </c>
      <c r="C19" s="16">
        <v>15</v>
      </c>
      <c r="D19" s="16" t="str" cm="1">
        <f t="array" ref="D19">IFERROR(_FV(Investments!$B19,"Industry"),"")</f>
        <v>Computers, Phones &amp; Household Electronics</v>
      </c>
      <c r="E19" s="17" cm="1">
        <f t="array" ref="E19">IFERROR(_FV(Investments!$B19,"Price"),"")</f>
        <v>0.96</v>
      </c>
      <c r="F19" s="18">
        <f t="shared" si="2"/>
        <v>14.399999999999999</v>
      </c>
      <c r="G19" s="18" cm="1">
        <f t="array" ref="G19">IFERROR(_FV(Investments!$B19,"Change")*C19,"")</f>
        <v>0.16499999999999998</v>
      </c>
      <c r="H19" s="19">
        <f>-SUMIF(Table5[Stock],B19,Table5[Transaction Amount])+F19</f>
        <v>-1485.6</v>
      </c>
    </row>
    <row r="20" spans="1:12" x14ac:dyDescent="0.35">
      <c r="B20" s="2" t="e" vm="11">
        <v>#VALUE!</v>
      </c>
      <c r="C20" s="2">
        <v>7</v>
      </c>
      <c r="D20" s="16" t="str" cm="1">
        <f t="array" ref="D20">IFERROR(_FV(Investments!$B20,"Industry"),"")</f>
        <v>Software &amp; IT Services</v>
      </c>
      <c r="E20" s="17" cm="1">
        <f t="array" ref="E20">IFERROR(_FV(Investments!$B20,"Price"),"")</f>
        <v>288.49</v>
      </c>
      <c r="F20" s="18">
        <f t="shared" si="2"/>
        <v>2019.43</v>
      </c>
      <c r="G20" s="18" cm="1">
        <f t="array" ref="G20">IFERROR(_FV(Investments!$B20,"Change")*C20,"")</f>
        <v>-55.16</v>
      </c>
      <c r="H20" s="19">
        <f>-SUMIF(Table5[Stock],B20,Table5[Transaction Amount])+F20</f>
        <v>-642.56999999999994</v>
      </c>
    </row>
    <row r="21" spans="1:12" x14ac:dyDescent="0.35">
      <c r="B21" s="2" t="e" vm="12">
        <v>#VALUE!</v>
      </c>
      <c r="C21" s="2">
        <v>15</v>
      </c>
      <c r="D21" s="16" t="str" cm="1">
        <f t="array" ref="D21">IFERROR(_FV(Investments!$B21,"Industry"),"")</f>
        <v>Beverages</v>
      </c>
      <c r="E21" s="17" cm="1">
        <f t="array" ref="E21">IFERROR(_FV(Investments!$B21,"Price"),"")</f>
        <v>59.82</v>
      </c>
      <c r="F21" s="18">
        <f t="shared" si="2"/>
        <v>897.3</v>
      </c>
      <c r="G21" s="18" cm="1">
        <f t="array" ref="G21">IFERROR(_FV(Investments!$B21,"Change")*C21,"")</f>
        <v>-2.1</v>
      </c>
      <c r="H21" s="19">
        <f>-SUMIF(Table5[Stock],B21,Table5[Transaction Amount])+F21</f>
        <v>-602.70000000000005</v>
      </c>
    </row>
    <row r="23" spans="1:12" x14ac:dyDescent="0.35">
      <c r="L23" s="2" t="s">
        <v>54</v>
      </c>
    </row>
    <row r="27" spans="1:12" x14ac:dyDescent="0.35">
      <c r="A27" s="119"/>
    </row>
  </sheetData>
  <mergeCells count="2">
    <mergeCell ref="B2:D4"/>
    <mergeCell ref="A2:A4"/>
  </mergeCells>
  <conditionalFormatting sqref="F11:F13">
    <cfRule type="dataBar" priority="5">
      <dataBar>
        <cfvo type="min"/>
        <cfvo type="max"/>
        <color rgb="FF638EC6"/>
      </dataBar>
      <extLst>
        <ext xmlns:x14="http://schemas.microsoft.com/office/spreadsheetml/2009/9/main" uri="{B025F937-C7B1-47D3-B67F-A62EFF666E3E}">
          <x14:id>{ED267DAF-ED73-46DB-8BEF-DBEF8AB08A26}</x14:id>
        </ext>
      </extLst>
    </cfRule>
  </conditionalFormatting>
  <conditionalFormatting sqref="F14">
    <cfRule type="dataBar" priority="4">
      <dataBar>
        <cfvo type="min"/>
        <cfvo type="max"/>
        <color rgb="FF638EC6"/>
      </dataBar>
      <extLst>
        <ext xmlns:x14="http://schemas.microsoft.com/office/spreadsheetml/2009/9/main" uri="{B025F937-C7B1-47D3-B67F-A62EFF666E3E}">
          <x14:id>{7969B281-A4C2-4017-8A59-E00E7DDD2E59}</x14:id>
        </ext>
      </extLst>
    </cfRule>
  </conditionalFormatting>
  <conditionalFormatting sqref="F11:F14">
    <cfRule type="dataBar" priority="3">
      <dataBar>
        <cfvo type="min"/>
        <cfvo type="max"/>
        <color rgb="FF638EC6"/>
      </dataBar>
      <extLst>
        <ext xmlns:x14="http://schemas.microsoft.com/office/spreadsheetml/2009/9/main" uri="{B025F937-C7B1-47D3-B67F-A62EFF666E3E}">
          <x14:id>{448267F8-B354-40EA-806A-497629E57E8D}</x14:id>
        </ext>
      </extLst>
    </cfRule>
  </conditionalFormatting>
  <conditionalFormatting sqref="C24:C25">
    <cfRule type="dataBar" priority="2">
      <dataBar>
        <cfvo type="min"/>
        <cfvo type="max"/>
        <color rgb="FF638EC6"/>
      </dataBar>
      <extLst>
        <ext xmlns:x14="http://schemas.microsoft.com/office/spreadsheetml/2009/9/main" uri="{B025F937-C7B1-47D3-B67F-A62EFF666E3E}">
          <x14:id>{34FD818A-137E-4D66-9C86-E453BBEFFEBB}</x14:id>
        </ext>
      </extLst>
    </cfRule>
  </conditionalFormatting>
  <conditionalFormatting sqref="F15:F21">
    <cfRule type="dataBar" priority="1">
      <dataBar>
        <cfvo type="min"/>
        <cfvo type="max"/>
        <color rgb="FF638EC6"/>
      </dataBar>
      <extLst>
        <ext xmlns:x14="http://schemas.microsoft.com/office/spreadsheetml/2009/9/main" uri="{B025F937-C7B1-47D3-B67F-A62EFF666E3E}">
          <x14:id>{930A1FEB-2004-4D3C-A21F-B3EE634AFE85}</x14:id>
        </ext>
      </extLst>
    </cfRule>
  </conditionalFormatting>
  <pageMargins left="0.7" right="0.7" top="0.75" bottom="0.75" header="0.3" footer="0.3"/>
  <pageSetup scale="38" orientation="landscape" r:id="rId1"/>
  <drawing r:id="rId2"/>
  <extLst>
    <ext xmlns:x14="http://schemas.microsoft.com/office/spreadsheetml/2009/9/main" uri="{78C0D931-6437-407d-A8EE-F0AAD7539E65}">
      <x14:conditionalFormattings>
        <x14:conditionalFormatting xmlns:xm="http://schemas.microsoft.com/office/excel/2006/main">
          <x14:cfRule type="dataBar" id="{ED267DAF-ED73-46DB-8BEF-DBEF8AB08A26}">
            <x14:dataBar minLength="0" maxLength="100" gradient="0">
              <x14:cfvo type="autoMin"/>
              <x14:cfvo type="autoMax"/>
              <x14:negativeFillColor rgb="FFFF0000"/>
              <x14:axisColor rgb="FF000000"/>
            </x14:dataBar>
          </x14:cfRule>
          <xm:sqref>F11:F13</xm:sqref>
        </x14:conditionalFormatting>
        <x14:conditionalFormatting xmlns:xm="http://schemas.microsoft.com/office/excel/2006/main">
          <x14:cfRule type="dataBar" id="{7969B281-A4C2-4017-8A59-E00E7DDD2E59}">
            <x14:dataBar minLength="0" maxLength="100" gradient="0">
              <x14:cfvo type="autoMin"/>
              <x14:cfvo type="autoMax"/>
              <x14:negativeFillColor rgb="FFFF0000"/>
              <x14:axisColor rgb="FF000000"/>
            </x14:dataBar>
          </x14:cfRule>
          <xm:sqref>F14</xm:sqref>
        </x14:conditionalFormatting>
        <x14:conditionalFormatting xmlns:xm="http://schemas.microsoft.com/office/excel/2006/main">
          <x14:cfRule type="dataBar" id="{448267F8-B354-40EA-806A-497629E57E8D}">
            <x14:dataBar minLength="0" maxLength="100" gradient="0">
              <x14:cfvo type="autoMin"/>
              <x14:cfvo type="autoMax"/>
              <x14:negativeFillColor rgb="FFFF0000"/>
              <x14:axisColor rgb="FF000000"/>
            </x14:dataBar>
          </x14:cfRule>
          <xm:sqref>F11:F14</xm:sqref>
        </x14:conditionalFormatting>
        <x14:conditionalFormatting xmlns:xm="http://schemas.microsoft.com/office/excel/2006/main">
          <x14:cfRule type="dataBar" id="{34FD818A-137E-4D66-9C86-E453BBEFFEBB}">
            <x14:dataBar minLength="0" maxLength="100" gradient="0">
              <x14:cfvo type="autoMin"/>
              <x14:cfvo type="autoMax"/>
              <x14:negativeFillColor rgb="FFFF0000"/>
              <x14:axisColor rgb="FF000000"/>
            </x14:dataBar>
          </x14:cfRule>
          <xm:sqref>C24:C25</xm:sqref>
        </x14:conditionalFormatting>
        <x14:conditionalFormatting xmlns:xm="http://schemas.microsoft.com/office/excel/2006/main">
          <x14:cfRule type="dataBar" id="{930A1FEB-2004-4D3C-A21F-B3EE634AFE85}">
            <x14:dataBar minLength="0" maxLength="100" gradient="0" negativeBarColorSameAsPositive="1" axisPosition="none">
              <x14:cfvo type="autoMin"/>
              <x14:cfvo type="autoMax"/>
            </x14:dataBar>
          </x14:cfRule>
          <xm:sqref>F15:F21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E4E5-F626-4B34-A7D6-6041D76FD9DF}">
  <sheetPr codeName="Sheet6">
    <tabColor rgb="FF8AE6C1"/>
  </sheetPr>
  <dimension ref="A2:U113"/>
  <sheetViews>
    <sheetView topLeftCell="A98" zoomScaleNormal="100" workbookViewId="0">
      <selection activeCell="C13" sqref="C13"/>
    </sheetView>
  </sheetViews>
  <sheetFormatPr defaultColWidth="8.81640625" defaultRowHeight="14.5" x14ac:dyDescent="0.35"/>
  <cols>
    <col min="1" max="1" width="9.453125" style="1" bestFit="1" customWidth="1"/>
    <col min="2" max="2" width="20.453125" style="1" customWidth="1"/>
    <col min="3" max="3" width="16" style="1" customWidth="1"/>
    <col min="4" max="4" width="8.81640625" style="1"/>
    <col min="5" max="5" width="18.453125" style="1" customWidth="1"/>
    <col min="6" max="6" width="17.453125" style="1" customWidth="1"/>
    <col min="7" max="7" width="10.453125" style="1" customWidth="1"/>
    <col min="8" max="8" width="18.1796875" style="1" customWidth="1"/>
    <col min="9" max="9" width="15.453125" style="1" bestFit="1" customWidth="1"/>
    <col min="10" max="10" width="8.81640625" style="1" customWidth="1"/>
    <col min="11" max="11" width="11.453125" style="1" customWidth="1"/>
    <col min="12" max="16384" width="8.81640625" style="1"/>
  </cols>
  <sheetData>
    <row r="2" spans="1:16" x14ac:dyDescent="0.35">
      <c r="B2" s="160" t="s">
        <v>55</v>
      </c>
      <c r="C2" s="161"/>
      <c r="D2" s="161"/>
      <c r="G2" s="31"/>
    </row>
    <row r="3" spans="1:16" x14ac:dyDescent="0.35">
      <c r="B3" s="161"/>
      <c r="C3" s="161"/>
      <c r="D3" s="161"/>
      <c r="F3" s="32" t="s">
        <v>2</v>
      </c>
      <c r="G3" s="31"/>
      <c r="K3" s="88">
        <f ca="1">TODAY()</f>
        <v>44587</v>
      </c>
    </row>
    <row r="4" spans="1:16" ht="15" thickBot="1" x14ac:dyDescent="0.4">
      <c r="B4" s="162"/>
      <c r="C4" s="162"/>
      <c r="D4" s="162"/>
      <c r="E4" s="33"/>
      <c r="F4" s="33"/>
      <c r="G4" s="34"/>
      <c r="H4" s="33"/>
      <c r="I4" s="33"/>
      <c r="J4" s="33"/>
      <c r="K4" s="33"/>
    </row>
    <row r="5" spans="1:16" ht="18.5" x14ac:dyDescent="0.35">
      <c r="B5" s="36"/>
      <c r="C5" s="36"/>
      <c r="D5" s="36"/>
    </row>
    <row r="6" spans="1:16" ht="18.5" x14ac:dyDescent="0.35">
      <c r="B6" s="36"/>
      <c r="C6" s="36"/>
      <c r="D6" s="36"/>
    </row>
    <row r="7" spans="1:16" ht="18.5" x14ac:dyDescent="0.35">
      <c r="B7" s="36"/>
      <c r="C7" s="36"/>
      <c r="D7" s="36"/>
    </row>
    <row r="8" spans="1:16" ht="26" x14ac:dyDescent="0.35">
      <c r="A8" s="165" t="s">
        <v>56</v>
      </c>
      <c r="B8" s="165"/>
      <c r="C8" s="165"/>
      <c r="D8" s="165"/>
      <c r="E8" s="165"/>
      <c r="F8" s="165"/>
      <c r="G8" s="165"/>
      <c r="H8" s="165"/>
      <c r="I8" s="165"/>
      <c r="J8" s="165"/>
      <c r="K8" s="165"/>
      <c r="L8" s="165"/>
      <c r="M8" s="165"/>
      <c r="N8" s="165"/>
      <c r="O8" s="165"/>
    </row>
    <row r="9" spans="1:16" x14ac:dyDescent="0.35">
      <c r="A9" s="39"/>
      <c r="B9" s="40"/>
      <c r="C9" s="40"/>
      <c r="D9" s="40"/>
      <c r="E9" s="41"/>
      <c r="F9" s="41"/>
      <c r="G9" s="41"/>
      <c r="H9" s="41"/>
      <c r="I9" s="41"/>
      <c r="J9" s="41"/>
      <c r="K9" s="41"/>
      <c r="L9" s="39"/>
      <c r="M9" s="39"/>
      <c r="N9" s="39"/>
      <c r="O9" s="39"/>
    </row>
    <row r="10" spans="1:16" x14ac:dyDescent="0.35">
      <c r="A10" s="39"/>
      <c r="B10" s="167" t="s">
        <v>56</v>
      </c>
      <c r="C10" s="167"/>
      <c r="D10" s="40"/>
      <c r="E10" s="41"/>
      <c r="F10" s="41"/>
      <c r="G10" s="41"/>
      <c r="H10" s="41"/>
      <c r="I10" s="41"/>
      <c r="J10" s="41"/>
      <c r="K10" s="41"/>
      <c r="L10" s="39"/>
      <c r="M10" s="39"/>
      <c r="N10" s="39"/>
      <c r="O10" s="39"/>
    </row>
    <row r="11" spans="1:16" x14ac:dyDescent="0.35">
      <c r="A11" s="39"/>
      <c r="B11" s="130" t="s">
        <v>57</v>
      </c>
      <c r="C11" s="131" t="s">
        <v>58</v>
      </c>
      <c r="D11" s="40"/>
      <c r="E11" s="41"/>
      <c r="F11" s="41"/>
      <c r="G11" s="41"/>
      <c r="H11" s="41"/>
      <c r="I11" s="41"/>
      <c r="J11" s="41"/>
      <c r="K11" s="41"/>
      <c r="L11" s="39"/>
      <c r="M11" s="39"/>
      <c r="N11" s="39"/>
      <c r="O11" s="39"/>
      <c r="P11" s="95">
        <f ca="1">YEAR(NOW())</f>
        <v>2022</v>
      </c>
    </row>
    <row r="12" spans="1:16" x14ac:dyDescent="0.35">
      <c r="A12" s="58">
        <f ca="1">DATEVALUE(_xlfn.CONCAT(1,"/",1,"/",$P$11))</f>
        <v>44562</v>
      </c>
      <c r="B12" s="43" t="s">
        <v>27</v>
      </c>
      <c r="C12" s="44">
        <v>1000</v>
      </c>
      <c r="D12" s="40"/>
      <c r="E12" s="41"/>
      <c r="F12" s="41"/>
      <c r="G12" s="41"/>
      <c r="H12" s="41"/>
      <c r="I12" s="41"/>
      <c r="J12" s="41"/>
      <c r="K12" s="41"/>
      <c r="L12" s="39"/>
      <c r="M12" s="39"/>
      <c r="N12" s="39"/>
      <c r="O12" s="39"/>
    </row>
    <row r="13" spans="1:16" x14ac:dyDescent="0.35">
      <c r="A13" s="58">
        <f ca="1">DATEVALUE(_xlfn.CONCAT(1,"/",2,"/",$P$11))</f>
        <v>44593</v>
      </c>
      <c r="B13" s="43" t="s">
        <v>32</v>
      </c>
      <c r="C13" s="44">
        <v>1500</v>
      </c>
      <c r="D13" s="40"/>
      <c r="E13" s="41"/>
      <c r="F13" s="41"/>
      <c r="G13" s="41"/>
      <c r="H13" s="41"/>
      <c r="I13" s="41"/>
      <c r="J13" s="41"/>
      <c r="K13" s="41"/>
      <c r="L13" s="39"/>
      <c r="M13" s="39"/>
      <c r="N13" s="39"/>
      <c r="O13" s="39"/>
    </row>
    <row r="14" spans="1:16" x14ac:dyDescent="0.35">
      <c r="A14" s="58">
        <f ca="1">DATEVALUE(_xlfn.CONCAT(1,"/",3,"/",$P$11))</f>
        <v>44621</v>
      </c>
      <c r="B14" s="43" t="s">
        <v>33</v>
      </c>
      <c r="C14" s="44">
        <v>2200</v>
      </c>
      <c r="D14" s="42"/>
      <c r="E14" s="39"/>
      <c r="F14" s="39"/>
      <c r="G14" s="39"/>
      <c r="H14" s="39"/>
      <c r="I14" s="39"/>
      <c r="J14" s="39"/>
      <c r="K14" s="39"/>
      <c r="L14" s="39"/>
      <c r="M14" s="39"/>
      <c r="N14" s="39"/>
      <c r="O14" s="39"/>
    </row>
    <row r="15" spans="1:16" x14ac:dyDescent="0.35">
      <c r="A15" s="58">
        <f ca="1">DATEVALUE(_xlfn.CONCAT(1,"/",4,"/",$P$11))</f>
        <v>44652</v>
      </c>
      <c r="B15" s="43" t="s">
        <v>59</v>
      </c>
      <c r="C15" s="44">
        <v>3500</v>
      </c>
      <c r="D15" s="39"/>
      <c r="E15" s="39"/>
      <c r="F15" s="39"/>
      <c r="G15" s="39"/>
      <c r="H15" s="39"/>
      <c r="I15" s="39"/>
      <c r="J15" s="39"/>
      <c r="K15" s="39"/>
      <c r="L15" s="39"/>
      <c r="M15" s="39"/>
      <c r="N15" s="39"/>
      <c r="O15" s="39"/>
    </row>
    <row r="16" spans="1:16" x14ac:dyDescent="0.35">
      <c r="A16" s="58">
        <f ca="1">DATEVALUE(_xlfn.CONCAT(1,"/",5,"/",$P$11))</f>
        <v>44682</v>
      </c>
      <c r="B16" s="43" t="s">
        <v>60</v>
      </c>
      <c r="C16" s="44">
        <v>2700</v>
      </c>
      <c r="D16" s="39"/>
      <c r="E16" s="39"/>
      <c r="F16" s="39"/>
      <c r="G16" s="39"/>
      <c r="H16" s="39"/>
      <c r="I16" s="39"/>
      <c r="J16" s="39"/>
      <c r="K16" s="39"/>
      <c r="L16" s="39"/>
      <c r="M16" s="39"/>
      <c r="N16" s="39"/>
      <c r="O16" s="39"/>
    </row>
    <row r="17" spans="1:21" x14ac:dyDescent="0.35">
      <c r="A17" s="58">
        <f ca="1">DATEVALUE(_xlfn.CONCAT(1,"/",6,"/",$P$11))</f>
        <v>44713</v>
      </c>
      <c r="B17" s="43" t="s">
        <v>61</v>
      </c>
      <c r="C17" s="44">
        <v>3600</v>
      </c>
      <c r="D17" s="39"/>
      <c r="E17" s="39"/>
      <c r="F17" s="39"/>
      <c r="G17" s="39"/>
      <c r="H17" s="39"/>
      <c r="I17" s="39"/>
      <c r="J17" s="39"/>
      <c r="K17" s="39"/>
      <c r="L17" s="39"/>
      <c r="M17" s="39"/>
      <c r="N17" s="39"/>
      <c r="O17" s="39"/>
    </row>
    <row r="18" spans="1:21" x14ac:dyDescent="0.35">
      <c r="A18" s="58">
        <f ca="1">DATEVALUE(_xlfn.CONCAT(1,"/",7,"/",$P$11))</f>
        <v>44743</v>
      </c>
      <c r="B18" s="43" t="s">
        <v>62</v>
      </c>
      <c r="C18" s="44">
        <v>3300</v>
      </c>
      <c r="D18" s="39"/>
      <c r="E18" s="39"/>
      <c r="F18" s="39"/>
      <c r="G18" s="39"/>
      <c r="H18" s="39"/>
      <c r="I18" s="39"/>
      <c r="J18" s="39"/>
      <c r="K18" s="39"/>
      <c r="L18" s="39"/>
      <c r="M18" s="39"/>
      <c r="N18" s="39"/>
      <c r="O18" s="39"/>
    </row>
    <row r="19" spans="1:21" x14ac:dyDescent="0.35">
      <c r="A19" s="58">
        <f ca="1">DATEVALUE(_xlfn.CONCAT(1,"/",8,"/",$P$11))</f>
        <v>44774</v>
      </c>
      <c r="B19" s="43" t="s">
        <v>63</v>
      </c>
      <c r="C19" s="44">
        <v>2800</v>
      </c>
      <c r="D19" s="39"/>
      <c r="E19" s="39"/>
      <c r="F19" s="39"/>
      <c r="G19" s="39"/>
      <c r="H19" s="39"/>
      <c r="I19" s="39"/>
      <c r="J19" s="39"/>
      <c r="K19" s="39"/>
      <c r="L19" s="39"/>
      <c r="M19" s="39"/>
      <c r="N19" s="39"/>
      <c r="O19" s="39"/>
    </row>
    <row r="20" spans="1:21" x14ac:dyDescent="0.35">
      <c r="A20" s="58">
        <f ca="1">DATEVALUE(_xlfn.CONCAT(1,"/",9,"/",$P$11))</f>
        <v>44805</v>
      </c>
      <c r="B20" s="43" t="s">
        <v>64</v>
      </c>
      <c r="C20" s="44">
        <v>1500</v>
      </c>
      <c r="D20" s="39"/>
      <c r="E20" s="39"/>
      <c r="F20" s="39"/>
      <c r="G20" s="39"/>
      <c r="H20" s="39"/>
      <c r="I20" s="39"/>
      <c r="J20" s="39"/>
      <c r="K20" s="39"/>
      <c r="L20" s="39"/>
      <c r="M20" s="39"/>
      <c r="N20" s="39"/>
      <c r="O20" s="39"/>
    </row>
    <row r="21" spans="1:21" x14ac:dyDescent="0.35">
      <c r="A21" s="58">
        <f ca="1">DATEVALUE(_xlfn.CONCAT(1,"/",10,"/",$P$11))</f>
        <v>44835</v>
      </c>
      <c r="B21" s="43" t="s">
        <v>65</v>
      </c>
      <c r="C21" s="44">
        <v>2100</v>
      </c>
      <c r="D21" s="39"/>
      <c r="E21" s="39"/>
      <c r="F21" s="39"/>
      <c r="G21" s="39"/>
      <c r="H21" s="39"/>
      <c r="I21" s="39"/>
      <c r="J21" s="39"/>
      <c r="K21" s="39"/>
      <c r="L21" s="39"/>
      <c r="M21" s="39"/>
      <c r="N21" s="39"/>
      <c r="O21" s="39"/>
    </row>
    <row r="22" spans="1:21" x14ac:dyDescent="0.35">
      <c r="A22" s="58">
        <f ca="1">DATEVALUE(_xlfn.CONCAT(1,"/",11,"/",$P$11))</f>
        <v>44866</v>
      </c>
      <c r="B22" s="43" t="s">
        <v>66</v>
      </c>
      <c r="C22" s="44">
        <v>2100</v>
      </c>
      <c r="D22" s="39"/>
      <c r="E22" s="39"/>
      <c r="F22" s="39"/>
      <c r="G22" s="39"/>
      <c r="H22" s="39"/>
      <c r="I22" s="39"/>
      <c r="J22" s="39"/>
      <c r="K22" s="39"/>
      <c r="L22" s="39"/>
      <c r="M22" s="39"/>
      <c r="N22" s="39"/>
      <c r="O22" s="39"/>
    </row>
    <row r="23" spans="1:21" ht="19.5" x14ac:dyDescent="0.45">
      <c r="A23" s="58">
        <f ca="1">DATEVALUE(_xlfn.CONCAT(1,"/",12,"/",$P$11))</f>
        <v>44896</v>
      </c>
      <c r="B23" s="43" t="s">
        <v>67</v>
      </c>
      <c r="C23" s="44">
        <v>5000</v>
      </c>
      <c r="D23" s="164" t="s">
        <v>68</v>
      </c>
      <c r="E23" s="164"/>
      <c r="F23" s="164"/>
      <c r="G23" s="164"/>
      <c r="H23" s="164"/>
      <c r="I23" s="39"/>
      <c r="J23" s="39"/>
      <c r="K23" s="39"/>
      <c r="L23" s="39"/>
      <c r="M23" s="39"/>
      <c r="N23" s="39"/>
      <c r="O23" s="39"/>
      <c r="U23" s="1" t="s">
        <v>54</v>
      </c>
    </row>
    <row r="24" spans="1:21" ht="19.5" x14ac:dyDescent="0.45">
      <c r="A24" s="39"/>
      <c r="B24" s="37" t="s">
        <v>69</v>
      </c>
      <c r="C24" s="38">
        <f>SUM(C12:C23)</f>
        <v>31300</v>
      </c>
      <c r="D24" s="163">
        <f>C24</f>
        <v>31300</v>
      </c>
      <c r="E24" s="163"/>
      <c r="F24" s="163"/>
      <c r="G24" s="163"/>
      <c r="H24" s="163"/>
      <c r="I24" s="39"/>
      <c r="J24" s="39"/>
      <c r="K24" s="39"/>
      <c r="L24" s="39"/>
      <c r="M24" s="39"/>
      <c r="N24" s="39"/>
      <c r="O24" s="39"/>
    </row>
    <row r="25" spans="1:21" x14ac:dyDescent="0.35">
      <c r="A25" s="39"/>
      <c r="B25" s="39"/>
      <c r="C25" s="39"/>
      <c r="D25" s="39"/>
      <c r="E25" s="39"/>
      <c r="F25" s="39"/>
      <c r="G25" s="39"/>
      <c r="H25" s="39"/>
      <c r="I25" s="39"/>
      <c r="J25" s="39"/>
      <c r="K25" s="39"/>
      <c r="L25" s="39"/>
      <c r="M25" s="39"/>
      <c r="N25" s="39"/>
      <c r="O25" s="39"/>
    </row>
    <row r="26" spans="1:21" x14ac:dyDescent="0.35">
      <c r="A26" s="45"/>
      <c r="B26" s="45"/>
      <c r="C26" s="45"/>
      <c r="D26" s="45"/>
      <c r="E26" s="45"/>
      <c r="F26" s="45"/>
      <c r="G26" s="45"/>
      <c r="H26" s="45"/>
      <c r="I26" s="45"/>
      <c r="J26" s="45"/>
      <c r="K26" s="45"/>
      <c r="L26" s="45"/>
      <c r="M26" s="45"/>
      <c r="N26" s="45"/>
      <c r="O26" s="45"/>
    </row>
    <row r="27" spans="1:21" ht="26" x14ac:dyDescent="0.35">
      <c r="A27" s="168" t="s">
        <v>70</v>
      </c>
      <c r="B27" s="168"/>
      <c r="C27" s="168"/>
      <c r="D27" s="168"/>
      <c r="E27" s="168"/>
      <c r="F27" s="168"/>
      <c r="G27" s="168"/>
      <c r="H27" s="168"/>
      <c r="I27" s="168"/>
      <c r="J27" s="168"/>
      <c r="K27" s="168"/>
      <c r="L27" s="168"/>
      <c r="M27" s="168"/>
      <c r="N27" s="168"/>
      <c r="O27" s="168"/>
    </row>
    <row r="28" spans="1:21" x14ac:dyDescent="0.35">
      <c r="A28" s="45"/>
      <c r="B28" s="45"/>
      <c r="C28" s="45"/>
      <c r="D28" s="45"/>
      <c r="E28" s="45"/>
      <c r="F28" s="45"/>
      <c r="G28" s="45"/>
      <c r="H28" s="45"/>
      <c r="I28" s="45"/>
      <c r="J28" s="45"/>
      <c r="K28" s="45"/>
      <c r="L28" s="46"/>
      <c r="M28" s="45"/>
      <c r="N28" s="45"/>
      <c r="O28" s="45"/>
    </row>
    <row r="29" spans="1:21" x14ac:dyDescent="0.35">
      <c r="A29" s="45"/>
      <c r="B29" s="149" t="s">
        <v>70</v>
      </c>
      <c r="C29" s="149"/>
      <c r="D29" s="45"/>
      <c r="E29" s="45"/>
      <c r="F29" s="45"/>
      <c r="G29" s="45"/>
      <c r="H29" s="45"/>
      <c r="I29" s="45"/>
      <c r="J29" s="45"/>
      <c r="K29" s="45"/>
      <c r="L29" s="45"/>
      <c r="M29" s="45"/>
      <c r="N29" s="45"/>
      <c r="O29" s="45"/>
    </row>
    <row r="30" spans="1:21" x14ac:dyDescent="0.35">
      <c r="A30" s="45"/>
      <c r="B30" s="130" t="s">
        <v>57</v>
      </c>
      <c r="C30" s="131" t="s">
        <v>58</v>
      </c>
      <c r="D30" s="45"/>
      <c r="E30" s="45"/>
      <c r="F30" s="45"/>
      <c r="G30" s="45"/>
      <c r="H30" s="45"/>
      <c r="I30" s="45"/>
      <c r="J30" s="45"/>
      <c r="K30" s="45"/>
      <c r="L30" s="45"/>
      <c r="M30" s="45"/>
      <c r="N30" s="45"/>
      <c r="O30" s="45"/>
    </row>
    <row r="31" spans="1:21" x14ac:dyDescent="0.35">
      <c r="A31" s="45"/>
      <c r="B31" s="43" t="s">
        <v>27</v>
      </c>
      <c r="C31" s="44">
        <v>500</v>
      </c>
      <c r="D31" s="45"/>
      <c r="E31" s="45"/>
      <c r="F31" s="45"/>
      <c r="G31" s="45"/>
      <c r="H31" s="45"/>
      <c r="I31" s="45"/>
      <c r="J31" s="45"/>
      <c r="K31" s="45"/>
      <c r="L31" s="45"/>
      <c r="M31" s="45"/>
      <c r="N31" s="45"/>
      <c r="O31" s="45"/>
    </row>
    <row r="32" spans="1:21" x14ac:dyDescent="0.35">
      <c r="A32" s="45"/>
      <c r="B32" s="43" t="s">
        <v>32</v>
      </c>
      <c r="C32" s="44">
        <f t="shared" ref="C32:C42" si="0">C52+C72</f>
        <v>2600</v>
      </c>
      <c r="D32" s="45"/>
      <c r="E32" s="45"/>
      <c r="F32" s="45"/>
      <c r="G32" s="45"/>
      <c r="H32" s="45"/>
      <c r="I32" s="45"/>
      <c r="J32" s="45"/>
      <c r="K32" s="45"/>
      <c r="L32" s="45"/>
      <c r="M32" s="45"/>
      <c r="N32" s="45"/>
      <c r="O32" s="45"/>
    </row>
    <row r="33" spans="1:15" x14ac:dyDescent="0.35">
      <c r="A33" s="45"/>
      <c r="B33" s="43" t="s">
        <v>33</v>
      </c>
      <c r="C33" s="44">
        <f t="shared" si="0"/>
        <v>1200</v>
      </c>
      <c r="D33" s="45"/>
      <c r="E33" s="45"/>
      <c r="F33" s="45"/>
      <c r="G33" s="45"/>
      <c r="H33" s="45"/>
      <c r="I33" s="45"/>
      <c r="J33" s="45"/>
      <c r="K33" s="45"/>
      <c r="L33" s="45"/>
      <c r="M33" s="45"/>
      <c r="N33" s="45"/>
      <c r="O33" s="45"/>
    </row>
    <row r="34" spans="1:15" x14ac:dyDescent="0.35">
      <c r="A34" s="45"/>
      <c r="B34" s="43" t="s">
        <v>59</v>
      </c>
      <c r="C34" s="44">
        <f t="shared" si="0"/>
        <v>1050</v>
      </c>
      <c r="D34" s="45"/>
      <c r="E34" s="45"/>
      <c r="F34" s="45"/>
      <c r="G34" s="45"/>
      <c r="H34" s="45"/>
      <c r="I34" s="45"/>
      <c r="J34" s="45"/>
      <c r="K34" s="45"/>
      <c r="L34" s="45"/>
      <c r="M34" s="45"/>
      <c r="N34" s="45"/>
      <c r="O34" s="45"/>
    </row>
    <row r="35" spans="1:15" x14ac:dyDescent="0.35">
      <c r="A35" s="45"/>
      <c r="B35" s="43" t="s">
        <v>60</v>
      </c>
      <c r="C35" s="44">
        <f t="shared" si="0"/>
        <v>750</v>
      </c>
      <c r="D35" s="45"/>
      <c r="E35" s="45"/>
      <c r="F35" s="45"/>
      <c r="G35" s="45"/>
      <c r="H35" s="47"/>
      <c r="I35" s="47"/>
      <c r="J35" s="47"/>
      <c r="K35" s="47"/>
      <c r="L35" s="47"/>
      <c r="M35" s="45"/>
      <c r="N35" s="45"/>
      <c r="O35" s="45"/>
    </row>
    <row r="36" spans="1:15" x14ac:dyDescent="0.35">
      <c r="A36" s="45"/>
      <c r="B36" s="43" t="s">
        <v>61</v>
      </c>
      <c r="C36" s="44">
        <v>9000</v>
      </c>
      <c r="D36" s="45"/>
      <c r="E36" s="45"/>
      <c r="F36" s="45"/>
      <c r="G36" s="45"/>
      <c r="H36" s="47"/>
      <c r="I36" s="47"/>
      <c r="J36" s="47"/>
      <c r="K36" s="47"/>
      <c r="L36" s="47"/>
      <c r="M36" s="45"/>
      <c r="N36" s="45"/>
      <c r="O36" s="45"/>
    </row>
    <row r="37" spans="1:15" x14ac:dyDescent="0.35">
      <c r="A37" s="45"/>
      <c r="B37" s="43" t="s">
        <v>62</v>
      </c>
      <c r="C37" s="44">
        <f t="shared" si="0"/>
        <v>1000</v>
      </c>
      <c r="D37" s="45"/>
      <c r="E37" s="45"/>
      <c r="F37" s="45"/>
      <c r="G37" s="45"/>
      <c r="H37" s="47"/>
      <c r="I37" s="47"/>
      <c r="J37" s="47"/>
      <c r="K37" s="47"/>
      <c r="L37" s="47"/>
      <c r="M37" s="45"/>
      <c r="N37" s="45"/>
      <c r="O37" s="45"/>
    </row>
    <row r="38" spans="1:15" x14ac:dyDescent="0.35">
      <c r="A38" s="45"/>
      <c r="B38" s="43" t="s">
        <v>63</v>
      </c>
      <c r="C38" s="44">
        <f t="shared" si="0"/>
        <v>1200</v>
      </c>
      <c r="D38" s="45"/>
      <c r="E38" s="45"/>
      <c r="F38" s="45"/>
      <c r="G38" s="45"/>
      <c r="H38" s="45"/>
      <c r="I38" s="45"/>
      <c r="J38" s="45"/>
      <c r="K38" s="45"/>
      <c r="L38" s="45"/>
      <c r="M38" s="45"/>
      <c r="N38" s="45"/>
      <c r="O38" s="45"/>
    </row>
    <row r="39" spans="1:15" x14ac:dyDescent="0.35">
      <c r="A39" s="45"/>
      <c r="B39" s="43" t="s">
        <v>64</v>
      </c>
      <c r="C39" s="44">
        <f t="shared" si="0"/>
        <v>1350</v>
      </c>
      <c r="D39" s="45"/>
      <c r="E39" s="45"/>
      <c r="F39" s="45"/>
      <c r="G39" s="45"/>
      <c r="H39" s="45"/>
      <c r="I39" s="45"/>
      <c r="J39" s="45"/>
      <c r="K39" s="45"/>
      <c r="L39" s="45"/>
      <c r="M39" s="45"/>
      <c r="N39" s="45"/>
      <c r="O39" s="45"/>
    </row>
    <row r="40" spans="1:15" x14ac:dyDescent="0.35">
      <c r="A40" s="45"/>
      <c r="B40" s="43" t="s">
        <v>65</v>
      </c>
      <c r="C40" s="44">
        <f t="shared" si="0"/>
        <v>1000</v>
      </c>
      <c r="D40" s="45"/>
      <c r="E40" s="45"/>
      <c r="F40" s="45"/>
      <c r="G40" s="45"/>
      <c r="H40" s="45"/>
      <c r="I40" s="45"/>
      <c r="J40" s="45"/>
      <c r="K40" s="45"/>
      <c r="L40" s="45"/>
      <c r="M40" s="45"/>
      <c r="N40" s="45"/>
      <c r="O40" s="45"/>
    </row>
    <row r="41" spans="1:15" x14ac:dyDescent="0.35">
      <c r="A41" s="45"/>
      <c r="B41" s="43" t="s">
        <v>66</v>
      </c>
      <c r="C41" s="44">
        <v>1000</v>
      </c>
      <c r="D41" s="45"/>
      <c r="E41" s="45"/>
      <c r="F41" s="45"/>
      <c r="G41" s="45"/>
      <c r="H41" s="45"/>
      <c r="I41" s="45"/>
      <c r="J41" s="45"/>
      <c r="K41" s="45"/>
      <c r="L41" s="45"/>
      <c r="M41" s="45"/>
      <c r="N41" s="45"/>
      <c r="O41" s="45"/>
    </row>
    <row r="42" spans="1:15" x14ac:dyDescent="0.35">
      <c r="A42" s="45"/>
      <c r="B42" s="43" t="s">
        <v>67</v>
      </c>
      <c r="C42" s="44">
        <f t="shared" si="0"/>
        <v>1000</v>
      </c>
      <c r="D42" s="45"/>
      <c r="E42" s="45"/>
      <c r="F42" s="45"/>
      <c r="G42" s="45"/>
      <c r="H42" s="45"/>
      <c r="I42" s="45"/>
      <c r="J42" s="45"/>
      <c r="K42" s="45"/>
      <c r="L42" s="45"/>
      <c r="M42" s="45"/>
      <c r="N42" s="45"/>
      <c r="O42" s="45"/>
    </row>
    <row r="43" spans="1:15" ht="19.5" x14ac:dyDescent="0.45">
      <c r="A43" s="45"/>
      <c r="B43" s="37" t="s">
        <v>71</v>
      </c>
      <c r="C43" s="38">
        <f>SUM(C31:C42)</f>
        <v>21650</v>
      </c>
      <c r="D43" s="170" t="s">
        <v>72</v>
      </c>
      <c r="E43" s="170"/>
      <c r="F43" s="170"/>
      <c r="G43" s="170"/>
      <c r="H43" s="170"/>
      <c r="I43" s="45"/>
      <c r="J43" s="45"/>
      <c r="K43" s="45"/>
      <c r="L43" s="45"/>
      <c r="M43" s="45"/>
      <c r="N43" s="45"/>
      <c r="O43" s="45"/>
    </row>
    <row r="44" spans="1:15" ht="19.5" x14ac:dyDescent="0.45">
      <c r="A44" s="45"/>
      <c r="B44" s="45"/>
      <c r="C44" s="45"/>
      <c r="D44" s="171">
        <f>C43</f>
        <v>21650</v>
      </c>
      <c r="E44" s="171"/>
      <c r="F44" s="171"/>
      <c r="G44" s="171"/>
      <c r="H44" s="171"/>
      <c r="I44" s="45"/>
      <c r="J44" s="45"/>
      <c r="K44" s="45"/>
      <c r="L44" s="45"/>
      <c r="M44" s="45"/>
      <c r="N44" s="45"/>
      <c r="O44" s="45"/>
    </row>
    <row r="45" spans="1:15" x14ac:dyDescent="0.35">
      <c r="A45" s="45"/>
      <c r="B45" s="45"/>
      <c r="C45" s="45"/>
      <c r="D45" s="45"/>
      <c r="E45" s="45"/>
      <c r="F45" s="45"/>
      <c r="G45" s="45"/>
      <c r="H45" s="45"/>
      <c r="I45" s="45"/>
      <c r="J45" s="45"/>
      <c r="K45" s="45"/>
      <c r="L45" s="45"/>
      <c r="M45" s="45"/>
      <c r="N45" s="45"/>
      <c r="O45" s="45"/>
    </row>
    <row r="46" spans="1:15" x14ac:dyDescent="0.35">
      <c r="A46" s="48"/>
      <c r="B46" s="48"/>
      <c r="C46" s="48"/>
      <c r="D46" s="48"/>
      <c r="E46" s="48"/>
      <c r="F46" s="48"/>
      <c r="G46" s="48"/>
      <c r="H46" s="48"/>
      <c r="I46" s="48"/>
      <c r="J46" s="48"/>
      <c r="K46" s="48"/>
      <c r="L46" s="48"/>
      <c r="M46" s="48"/>
      <c r="N46" s="48"/>
      <c r="O46" s="48"/>
    </row>
    <row r="47" spans="1:15" ht="26" x14ac:dyDescent="0.35">
      <c r="A47" s="169" t="s">
        <v>73</v>
      </c>
      <c r="B47" s="169"/>
      <c r="C47" s="169"/>
      <c r="D47" s="169"/>
      <c r="E47" s="169"/>
      <c r="F47" s="169"/>
      <c r="G47" s="169"/>
      <c r="H47" s="169"/>
      <c r="I47" s="169"/>
      <c r="J47" s="169"/>
      <c r="K47" s="169"/>
      <c r="L47" s="169"/>
      <c r="M47" s="169"/>
      <c r="N47" s="169"/>
      <c r="O47" s="169"/>
    </row>
    <row r="48" spans="1:15" x14ac:dyDescent="0.35">
      <c r="A48" s="48"/>
      <c r="B48" s="48"/>
      <c r="C48" s="48"/>
      <c r="D48" s="48"/>
      <c r="E48" s="48"/>
      <c r="F48" s="48"/>
      <c r="G48" s="48"/>
      <c r="H48" s="48"/>
      <c r="I48" s="48"/>
      <c r="J48" s="48"/>
      <c r="K48" s="48"/>
      <c r="L48" s="48"/>
      <c r="M48" s="48"/>
      <c r="N48" s="48"/>
      <c r="O48" s="48"/>
    </row>
    <row r="49" spans="1:15" x14ac:dyDescent="0.35">
      <c r="A49" s="48"/>
      <c r="B49" s="149" t="s">
        <v>73</v>
      </c>
      <c r="C49" s="149"/>
      <c r="D49" s="48"/>
      <c r="E49" s="48"/>
      <c r="F49" s="48"/>
      <c r="G49" s="48"/>
      <c r="H49" s="48"/>
      <c r="I49" s="48"/>
      <c r="J49" s="48"/>
      <c r="K49" s="48"/>
      <c r="L49" s="48"/>
      <c r="M49" s="48"/>
      <c r="N49" s="48"/>
      <c r="O49" s="48"/>
    </row>
    <row r="50" spans="1:15" x14ac:dyDescent="0.35">
      <c r="A50" s="48"/>
      <c r="B50" s="130" t="s">
        <v>57</v>
      </c>
      <c r="C50" s="131" t="s">
        <v>58</v>
      </c>
      <c r="D50" s="48"/>
      <c r="E50" s="48"/>
      <c r="F50" s="48"/>
      <c r="G50" s="48"/>
      <c r="H50" s="48"/>
      <c r="I50" s="48"/>
      <c r="J50" s="48"/>
      <c r="K50" s="48"/>
      <c r="L50" s="48"/>
      <c r="M50" s="48"/>
      <c r="N50" s="48"/>
      <c r="O50" s="48"/>
    </row>
    <row r="51" spans="1:15" x14ac:dyDescent="0.35">
      <c r="A51" s="48"/>
      <c r="B51" s="43" t="s">
        <v>27</v>
      </c>
      <c r="C51" s="44">
        <v>400</v>
      </c>
      <c r="D51" s="48"/>
      <c r="E51" s="48"/>
      <c r="F51" s="48"/>
      <c r="G51" s="48"/>
      <c r="H51" s="48"/>
      <c r="I51" s="48"/>
      <c r="J51" s="48"/>
      <c r="K51" s="48"/>
      <c r="L51" s="48"/>
      <c r="M51" s="48"/>
      <c r="N51" s="48"/>
      <c r="O51" s="48"/>
    </row>
    <row r="52" spans="1:15" x14ac:dyDescent="0.35">
      <c r="A52" s="48"/>
      <c r="B52" s="43" t="s">
        <v>32</v>
      </c>
      <c r="C52" s="44">
        <v>600</v>
      </c>
      <c r="D52" s="48"/>
      <c r="E52" s="48"/>
      <c r="F52" s="48"/>
      <c r="G52" s="48"/>
      <c r="H52" s="48"/>
      <c r="I52" s="48"/>
      <c r="J52" s="48"/>
      <c r="K52" s="48"/>
      <c r="L52" s="48"/>
      <c r="M52" s="48"/>
      <c r="N52" s="48"/>
      <c r="O52" s="48"/>
    </row>
    <row r="53" spans="1:15" x14ac:dyDescent="0.35">
      <c r="A53" s="48"/>
      <c r="B53" s="43" t="s">
        <v>33</v>
      </c>
      <c r="C53" s="44">
        <v>700</v>
      </c>
      <c r="D53" s="48"/>
      <c r="E53" s="48"/>
      <c r="F53" s="48"/>
      <c r="G53" s="48"/>
      <c r="H53" s="48"/>
      <c r="I53" s="48"/>
      <c r="J53" s="48"/>
      <c r="K53" s="48"/>
      <c r="L53" s="48"/>
      <c r="M53" s="48"/>
      <c r="N53" s="48"/>
      <c r="O53" s="48"/>
    </row>
    <row r="54" spans="1:15" x14ac:dyDescent="0.35">
      <c r="A54" s="48"/>
      <c r="B54" s="43" t="s">
        <v>59</v>
      </c>
      <c r="C54" s="44">
        <v>650</v>
      </c>
      <c r="D54" s="48"/>
      <c r="E54" s="48"/>
      <c r="F54" s="48"/>
      <c r="G54" s="48"/>
      <c r="H54" s="48"/>
      <c r="I54" s="48"/>
      <c r="J54" s="48"/>
      <c r="K54" s="48"/>
      <c r="L54" s="48"/>
      <c r="M54" s="48"/>
      <c r="N54" s="48"/>
      <c r="O54" s="48"/>
    </row>
    <row r="55" spans="1:15" x14ac:dyDescent="0.35">
      <c r="A55" s="48"/>
      <c r="B55" s="43" t="s">
        <v>60</v>
      </c>
      <c r="C55" s="44">
        <v>250</v>
      </c>
      <c r="D55" s="48"/>
      <c r="E55" s="48"/>
      <c r="F55" s="48"/>
      <c r="G55" s="48"/>
      <c r="H55" s="48"/>
      <c r="I55" s="48"/>
      <c r="J55" s="48"/>
      <c r="K55" s="48"/>
      <c r="L55" s="48"/>
      <c r="M55" s="48"/>
      <c r="N55" s="48"/>
      <c r="O55" s="48"/>
    </row>
    <row r="56" spans="1:15" x14ac:dyDescent="0.35">
      <c r="A56" s="48"/>
      <c r="B56" s="43" t="s">
        <v>61</v>
      </c>
      <c r="C56" s="44">
        <v>350</v>
      </c>
      <c r="D56" s="48"/>
      <c r="E56" s="48"/>
      <c r="F56" s="48"/>
      <c r="G56" s="48"/>
      <c r="H56" s="48"/>
      <c r="I56" s="48"/>
      <c r="J56" s="48"/>
      <c r="K56" s="48"/>
      <c r="L56" s="48"/>
      <c r="M56" s="48"/>
      <c r="N56" s="48"/>
      <c r="O56" s="48"/>
    </row>
    <row r="57" spans="1:15" x14ac:dyDescent="0.35">
      <c r="A57" s="48"/>
      <c r="B57" s="43" t="s">
        <v>62</v>
      </c>
      <c r="C57" s="44">
        <v>500</v>
      </c>
      <c r="D57" s="48"/>
      <c r="E57" s="48"/>
      <c r="F57" s="48"/>
      <c r="G57" s="48"/>
      <c r="H57" s="48"/>
      <c r="I57" s="48"/>
      <c r="J57" s="48"/>
      <c r="K57" s="48"/>
      <c r="L57" s="48"/>
      <c r="M57" s="48"/>
      <c r="N57" s="48"/>
      <c r="O57" s="48"/>
    </row>
    <row r="58" spans="1:15" x14ac:dyDescent="0.35">
      <c r="A58" s="48"/>
      <c r="B58" s="43" t="s">
        <v>63</v>
      </c>
      <c r="C58" s="44">
        <v>600</v>
      </c>
      <c r="D58" s="48"/>
      <c r="E58" s="48"/>
      <c r="F58" s="48"/>
      <c r="G58" s="48"/>
      <c r="H58" s="48"/>
      <c r="I58" s="48"/>
      <c r="J58" s="48"/>
      <c r="K58" s="48"/>
      <c r="L58" s="48"/>
      <c r="M58" s="48"/>
      <c r="N58" s="48"/>
      <c r="O58" s="48"/>
    </row>
    <row r="59" spans="1:15" x14ac:dyDescent="0.35">
      <c r="A59" s="48"/>
      <c r="B59" s="43" t="s">
        <v>64</v>
      </c>
      <c r="C59" s="44">
        <v>550</v>
      </c>
      <c r="D59" s="48"/>
      <c r="E59" s="48"/>
      <c r="F59" s="48"/>
      <c r="G59" s="48"/>
      <c r="H59" s="48"/>
      <c r="I59" s="48"/>
      <c r="J59" s="48"/>
      <c r="K59" s="48"/>
      <c r="L59" s="48"/>
      <c r="M59" s="48"/>
      <c r="N59" s="48"/>
      <c r="O59" s="48"/>
    </row>
    <row r="60" spans="1:15" x14ac:dyDescent="0.35">
      <c r="A60" s="48"/>
      <c r="B60" s="43" t="s">
        <v>65</v>
      </c>
      <c r="C60" s="44">
        <v>500</v>
      </c>
      <c r="D60" s="48"/>
      <c r="E60" s="48"/>
      <c r="F60" s="48"/>
      <c r="G60" s="48"/>
      <c r="H60" s="48"/>
      <c r="I60" s="48"/>
      <c r="J60" s="48"/>
      <c r="K60" s="48"/>
      <c r="L60" s="48"/>
      <c r="M60" s="48"/>
      <c r="N60" s="48"/>
      <c r="O60" s="48"/>
    </row>
    <row r="61" spans="1:15" x14ac:dyDescent="0.35">
      <c r="A61" s="48"/>
      <c r="B61" s="43" t="s">
        <v>66</v>
      </c>
      <c r="C61" s="44">
        <v>400</v>
      </c>
      <c r="D61" s="48"/>
      <c r="E61" s="48"/>
      <c r="F61" s="48"/>
      <c r="G61" s="48"/>
      <c r="H61" s="48"/>
      <c r="I61" s="48"/>
      <c r="J61" s="48"/>
      <c r="K61" s="48"/>
      <c r="L61" s="48"/>
      <c r="M61" s="48"/>
      <c r="N61" s="48"/>
      <c r="O61" s="48"/>
    </row>
    <row r="62" spans="1:15" ht="19.5" x14ac:dyDescent="0.45">
      <c r="A62" s="48"/>
      <c r="B62" s="43" t="s">
        <v>67</v>
      </c>
      <c r="C62" s="44">
        <v>500</v>
      </c>
      <c r="D62" s="166" t="s">
        <v>74</v>
      </c>
      <c r="E62" s="166"/>
      <c r="F62" s="166"/>
      <c r="G62" s="166"/>
      <c r="H62" s="166"/>
      <c r="I62" s="48"/>
      <c r="J62" s="48"/>
      <c r="K62" s="48"/>
      <c r="L62" s="48"/>
      <c r="M62" s="48"/>
      <c r="N62" s="48"/>
      <c r="O62" s="48"/>
    </row>
    <row r="63" spans="1:15" ht="19.5" x14ac:dyDescent="0.45">
      <c r="A63" s="48"/>
      <c r="B63" s="37" t="s">
        <v>75</v>
      </c>
      <c r="C63" s="38">
        <f>SUM(C51:C62)</f>
        <v>6000</v>
      </c>
      <c r="D63" s="158">
        <f>C63</f>
        <v>6000</v>
      </c>
      <c r="E63" s="158"/>
      <c r="F63" s="158"/>
      <c r="G63" s="158"/>
      <c r="H63" s="158"/>
      <c r="I63" s="48"/>
      <c r="J63" s="48"/>
      <c r="K63" s="48"/>
      <c r="L63" s="48"/>
      <c r="M63" s="48"/>
      <c r="N63" s="48"/>
      <c r="O63" s="48"/>
    </row>
    <row r="64" spans="1:15" x14ac:dyDescent="0.35">
      <c r="A64" s="48"/>
      <c r="B64" s="48"/>
      <c r="C64" s="48"/>
      <c r="D64" s="48"/>
      <c r="E64" s="48"/>
      <c r="F64" s="48"/>
      <c r="G64" s="48"/>
      <c r="H64" s="48"/>
      <c r="I64" s="48"/>
      <c r="J64" s="48"/>
      <c r="K64" s="48"/>
      <c r="L64" s="48"/>
      <c r="M64" s="48"/>
      <c r="N64" s="48"/>
      <c r="O64" s="48"/>
    </row>
    <row r="65" spans="1:15" x14ac:dyDescent="0.35">
      <c r="A65" s="48"/>
      <c r="B65" s="48"/>
      <c r="C65" s="48"/>
      <c r="D65" s="49"/>
      <c r="E65" s="49"/>
      <c r="F65" s="49"/>
      <c r="G65" s="49"/>
      <c r="H65" s="49"/>
      <c r="I65" s="48"/>
      <c r="J65" s="48"/>
      <c r="K65" s="48"/>
      <c r="L65" s="48"/>
      <c r="M65" s="48"/>
      <c r="N65" s="48"/>
      <c r="O65" s="48"/>
    </row>
    <row r="66" spans="1:15" x14ac:dyDescent="0.35">
      <c r="A66" s="50"/>
      <c r="B66" s="50"/>
      <c r="C66" s="50"/>
      <c r="D66" s="50"/>
      <c r="E66" s="50"/>
      <c r="F66" s="50"/>
      <c r="G66" s="50"/>
      <c r="H66" s="50"/>
      <c r="I66" s="50"/>
      <c r="J66" s="50"/>
      <c r="K66" s="50"/>
      <c r="L66" s="50"/>
      <c r="M66" s="50"/>
      <c r="N66" s="50"/>
      <c r="O66" s="50"/>
    </row>
    <row r="67" spans="1:15" ht="26" x14ac:dyDescent="0.35">
      <c r="A67" s="145" t="s">
        <v>76</v>
      </c>
      <c r="B67" s="145"/>
      <c r="C67" s="145"/>
      <c r="D67" s="145"/>
      <c r="E67" s="145"/>
      <c r="F67" s="145"/>
      <c r="G67" s="145"/>
      <c r="H67" s="145"/>
      <c r="I67" s="145"/>
      <c r="J67" s="145"/>
      <c r="K67" s="145"/>
      <c r="L67" s="145"/>
      <c r="M67" s="145"/>
      <c r="N67" s="145"/>
      <c r="O67" s="145"/>
    </row>
    <row r="68" spans="1:15" x14ac:dyDescent="0.35">
      <c r="A68" s="50"/>
      <c r="B68" s="50"/>
      <c r="C68" s="50"/>
      <c r="D68" s="50"/>
      <c r="E68" s="50"/>
      <c r="F68" s="50"/>
      <c r="G68" s="50"/>
      <c r="H68" s="50"/>
      <c r="I68" s="50"/>
      <c r="J68" s="50"/>
      <c r="K68" s="50"/>
      <c r="L68" s="50"/>
      <c r="M68" s="50"/>
      <c r="N68" s="50"/>
      <c r="O68" s="50"/>
    </row>
    <row r="69" spans="1:15" x14ac:dyDescent="0.35">
      <c r="A69" s="50"/>
      <c r="B69" s="149" t="s">
        <v>76</v>
      </c>
      <c r="C69" s="149"/>
      <c r="D69" s="50"/>
      <c r="E69" s="50"/>
      <c r="F69" s="50"/>
      <c r="G69" s="50"/>
      <c r="H69" s="50"/>
      <c r="I69" s="50"/>
      <c r="J69" s="50"/>
      <c r="K69" s="50"/>
      <c r="L69" s="50"/>
      <c r="M69" s="50"/>
      <c r="N69" s="50"/>
      <c r="O69" s="50"/>
    </row>
    <row r="70" spans="1:15" x14ac:dyDescent="0.35">
      <c r="A70" s="50"/>
      <c r="B70" s="130" t="s">
        <v>57</v>
      </c>
      <c r="C70" s="131" t="s">
        <v>58</v>
      </c>
      <c r="D70" s="50"/>
      <c r="E70" s="50"/>
      <c r="F70" s="50"/>
      <c r="G70" s="50"/>
      <c r="H70" s="50"/>
      <c r="I70" s="50"/>
      <c r="J70" s="50"/>
      <c r="K70" s="50"/>
      <c r="L70" s="50"/>
      <c r="M70" s="50"/>
      <c r="N70" s="50"/>
      <c r="O70" s="50"/>
    </row>
    <row r="71" spans="1:15" x14ac:dyDescent="0.35">
      <c r="A71" s="50"/>
      <c r="B71" s="43" t="s">
        <v>27</v>
      </c>
      <c r="C71" s="44">
        <v>1000</v>
      </c>
      <c r="D71" s="50"/>
      <c r="E71" s="50"/>
      <c r="F71" s="50"/>
      <c r="G71" s="50"/>
      <c r="H71" s="50"/>
      <c r="I71" s="50"/>
      <c r="J71" s="50"/>
      <c r="K71" s="50"/>
      <c r="L71" s="50"/>
      <c r="M71" s="50"/>
      <c r="N71" s="50"/>
      <c r="O71" s="50"/>
    </row>
    <row r="72" spans="1:15" x14ac:dyDescent="0.35">
      <c r="A72" s="50"/>
      <c r="B72" s="43" t="s">
        <v>32</v>
      </c>
      <c r="C72" s="44">
        <v>2000</v>
      </c>
      <c r="D72" s="50"/>
      <c r="E72" s="50"/>
      <c r="F72" s="50"/>
      <c r="G72" s="50"/>
      <c r="H72" s="50"/>
      <c r="I72" s="50"/>
      <c r="J72" s="50"/>
      <c r="K72" s="50"/>
      <c r="L72" s="50"/>
      <c r="M72" s="50"/>
      <c r="N72" s="50"/>
      <c r="O72" s="50"/>
    </row>
    <row r="73" spans="1:15" x14ac:dyDescent="0.35">
      <c r="A73" s="50"/>
      <c r="B73" s="43" t="s">
        <v>33</v>
      </c>
      <c r="C73" s="44">
        <v>500</v>
      </c>
      <c r="D73" s="50"/>
      <c r="E73" s="50"/>
      <c r="F73" s="50"/>
      <c r="G73" s="50"/>
      <c r="H73" s="50"/>
      <c r="I73" s="50"/>
      <c r="J73" s="50"/>
      <c r="K73" s="50"/>
      <c r="L73" s="50"/>
      <c r="M73" s="50"/>
      <c r="N73" s="50"/>
      <c r="O73" s="50"/>
    </row>
    <row r="74" spans="1:15" x14ac:dyDescent="0.35">
      <c r="A74" s="50"/>
      <c r="B74" s="43" t="s">
        <v>59</v>
      </c>
      <c r="C74" s="44">
        <v>400</v>
      </c>
      <c r="D74" s="50"/>
      <c r="E74" s="50"/>
      <c r="F74" s="50"/>
      <c r="G74" s="50"/>
      <c r="H74" s="50"/>
      <c r="I74" s="50"/>
      <c r="J74" s="50"/>
      <c r="K74" s="50"/>
      <c r="L74" s="50"/>
      <c r="M74" s="50"/>
      <c r="N74" s="50"/>
      <c r="O74" s="50"/>
    </row>
    <row r="75" spans="1:15" x14ac:dyDescent="0.35">
      <c r="A75" s="50"/>
      <c r="B75" s="43" t="s">
        <v>60</v>
      </c>
      <c r="C75" s="44">
        <v>500</v>
      </c>
      <c r="D75" s="50"/>
      <c r="E75" s="50"/>
      <c r="F75" s="50"/>
      <c r="G75" s="50"/>
      <c r="H75" s="50"/>
      <c r="I75" s="50"/>
      <c r="J75" s="50"/>
      <c r="K75" s="50"/>
      <c r="L75" s="50"/>
      <c r="M75" s="50"/>
      <c r="N75" s="50"/>
      <c r="O75" s="50"/>
    </row>
    <row r="76" spans="1:15" x14ac:dyDescent="0.35">
      <c r="A76" s="50"/>
      <c r="B76" s="43" t="s">
        <v>61</v>
      </c>
      <c r="C76" s="44">
        <v>350</v>
      </c>
      <c r="D76" s="50"/>
      <c r="E76" s="50"/>
      <c r="F76" s="50"/>
      <c r="G76" s="50"/>
      <c r="H76" s="50"/>
      <c r="I76" s="50"/>
      <c r="J76" s="50"/>
      <c r="K76" s="50"/>
      <c r="L76" s="50"/>
      <c r="M76" s="50"/>
      <c r="N76" s="50"/>
      <c r="O76" s="50"/>
    </row>
    <row r="77" spans="1:15" x14ac:dyDescent="0.35">
      <c r="A77" s="50"/>
      <c r="B77" s="43" t="s">
        <v>62</v>
      </c>
      <c r="C77" s="44">
        <v>500</v>
      </c>
      <c r="D77" s="50"/>
      <c r="E77" s="50"/>
      <c r="F77" s="50"/>
      <c r="G77" s="50"/>
      <c r="H77" s="50"/>
      <c r="I77" s="50"/>
      <c r="J77" s="50"/>
      <c r="K77" s="50"/>
      <c r="L77" s="50"/>
      <c r="M77" s="50"/>
      <c r="N77" s="50"/>
      <c r="O77" s="50"/>
    </row>
    <row r="78" spans="1:15" x14ac:dyDescent="0.35">
      <c r="A78" s="50"/>
      <c r="B78" s="43" t="s">
        <v>63</v>
      </c>
      <c r="C78" s="44">
        <v>600</v>
      </c>
      <c r="D78" s="50"/>
      <c r="E78" s="50"/>
      <c r="F78" s="50"/>
      <c r="G78" s="50"/>
      <c r="H78" s="50"/>
      <c r="I78" s="50"/>
      <c r="J78" s="50"/>
      <c r="K78" s="50"/>
      <c r="L78" s="50"/>
      <c r="M78" s="50"/>
      <c r="N78" s="50"/>
      <c r="O78" s="50"/>
    </row>
    <row r="79" spans="1:15" x14ac:dyDescent="0.35">
      <c r="A79" s="50"/>
      <c r="B79" s="43" t="s">
        <v>64</v>
      </c>
      <c r="C79" s="44">
        <v>800</v>
      </c>
      <c r="D79" s="50"/>
      <c r="E79" s="50"/>
      <c r="F79" s="50"/>
      <c r="G79" s="50"/>
      <c r="H79" s="50"/>
      <c r="I79" s="50"/>
      <c r="J79" s="50"/>
      <c r="K79" s="50"/>
      <c r="L79" s="50"/>
      <c r="M79" s="50"/>
      <c r="N79" s="50"/>
      <c r="O79" s="50"/>
    </row>
    <row r="80" spans="1:15" x14ac:dyDescent="0.35">
      <c r="A80" s="50"/>
      <c r="B80" s="43" t="s">
        <v>65</v>
      </c>
      <c r="C80" s="44">
        <v>500</v>
      </c>
      <c r="D80" s="50"/>
      <c r="E80" s="50"/>
      <c r="F80" s="50"/>
      <c r="G80" s="50"/>
      <c r="H80" s="50"/>
      <c r="I80" s="50"/>
      <c r="J80" s="50"/>
      <c r="K80" s="50"/>
      <c r="L80" s="50"/>
      <c r="M80" s="50"/>
      <c r="N80" s="50"/>
      <c r="O80" s="50"/>
    </row>
    <row r="81" spans="1:15" x14ac:dyDescent="0.35">
      <c r="A81" s="50"/>
      <c r="B81" s="43" t="s">
        <v>66</v>
      </c>
      <c r="C81" s="44">
        <v>600</v>
      </c>
      <c r="D81" s="50"/>
      <c r="E81" s="50"/>
      <c r="F81" s="50"/>
      <c r="G81" s="50"/>
      <c r="H81" s="50"/>
      <c r="I81" s="50"/>
      <c r="J81" s="50"/>
      <c r="K81" s="50"/>
      <c r="L81" s="50"/>
      <c r="M81" s="50"/>
      <c r="N81" s="50"/>
      <c r="O81" s="50"/>
    </row>
    <row r="82" spans="1:15" x14ac:dyDescent="0.35">
      <c r="A82" s="50"/>
      <c r="B82" s="43" t="s">
        <v>67</v>
      </c>
      <c r="C82" s="44">
        <v>500</v>
      </c>
      <c r="D82" s="50"/>
      <c r="E82" s="50"/>
      <c r="F82" s="50"/>
      <c r="G82" s="50"/>
      <c r="H82" s="50"/>
      <c r="I82" s="50"/>
      <c r="J82" s="50"/>
      <c r="K82" s="50"/>
      <c r="L82" s="50"/>
      <c r="M82" s="50"/>
      <c r="N82" s="50"/>
      <c r="O82" s="50"/>
    </row>
    <row r="83" spans="1:15" ht="19.5" x14ac:dyDescent="0.45">
      <c r="A83" s="50"/>
      <c r="B83" s="37" t="s">
        <v>77</v>
      </c>
      <c r="C83" s="38">
        <f>SUM(C71:C82)</f>
        <v>8250</v>
      </c>
      <c r="D83" s="156" t="s">
        <v>78</v>
      </c>
      <c r="E83" s="156"/>
      <c r="F83" s="156"/>
      <c r="G83" s="156"/>
      <c r="H83" s="156"/>
      <c r="I83" s="50"/>
      <c r="J83" s="50"/>
      <c r="K83" s="50"/>
      <c r="L83" s="50"/>
      <c r="M83" s="50"/>
      <c r="N83" s="50"/>
      <c r="O83" s="50"/>
    </row>
    <row r="84" spans="1:15" ht="19.5" x14ac:dyDescent="0.45">
      <c r="A84" s="50"/>
      <c r="B84" s="50"/>
      <c r="C84" s="50"/>
      <c r="D84" s="157">
        <f>C83</f>
        <v>8250</v>
      </c>
      <c r="E84" s="157"/>
      <c r="F84" s="157"/>
      <c r="G84" s="157"/>
      <c r="H84" s="157"/>
      <c r="I84" s="50"/>
      <c r="J84" s="50"/>
      <c r="K84" s="50"/>
      <c r="L84" s="50"/>
      <c r="M84" s="51"/>
      <c r="N84" s="50"/>
      <c r="O84" s="50"/>
    </row>
    <row r="85" spans="1:15" x14ac:dyDescent="0.35">
      <c r="A85" s="50"/>
      <c r="B85" s="50"/>
      <c r="C85" s="50"/>
      <c r="D85" s="50"/>
      <c r="E85" s="50"/>
      <c r="F85" s="50"/>
      <c r="G85" s="50"/>
      <c r="H85" s="50"/>
      <c r="I85" s="50"/>
      <c r="J85" s="50"/>
      <c r="K85" s="50"/>
      <c r="L85" s="50"/>
      <c r="M85" s="50"/>
      <c r="N85" s="50"/>
      <c r="O85" s="50"/>
    </row>
    <row r="86" spans="1:15" x14ac:dyDescent="0.35">
      <c r="A86" s="52"/>
      <c r="B86" s="52"/>
      <c r="C86" s="52"/>
      <c r="D86" s="52"/>
      <c r="E86" s="52"/>
      <c r="F86" s="52"/>
      <c r="G86" s="52"/>
      <c r="H86" s="52"/>
      <c r="I86" s="52"/>
      <c r="J86" s="52"/>
      <c r="K86" s="52"/>
      <c r="L86" s="52"/>
      <c r="M86" s="52"/>
      <c r="N86" s="52"/>
      <c r="O86" s="52"/>
    </row>
    <row r="87" spans="1:15" ht="26" x14ac:dyDescent="0.35">
      <c r="A87" s="146" t="s">
        <v>79</v>
      </c>
      <c r="B87" s="146"/>
      <c r="C87" s="146"/>
      <c r="D87" s="146"/>
      <c r="E87" s="146"/>
      <c r="F87" s="146"/>
      <c r="G87" s="146"/>
      <c r="H87" s="146"/>
      <c r="I87" s="146"/>
      <c r="J87" s="146"/>
      <c r="K87" s="146"/>
      <c r="L87" s="146"/>
      <c r="M87" s="146"/>
      <c r="N87" s="146"/>
      <c r="O87" s="146"/>
    </row>
    <row r="88" spans="1:15" x14ac:dyDescent="0.35">
      <c r="A88" s="52"/>
      <c r="B88" s="52"/>
      <c r="C88" s="52"/>
      <c r="D88" s="52"/>
      <c r="E88" s="52"/>
      <c r="F88" s="52"/>
      <c r="G88" s="52"/>
      <c r="H88" s="52"/>
      <c r="I88" s="52"/>
      <c r="J88" s="52"/>
      <c r="K88" s="52"/>
      <c r="L88" s="52"/>
      <c r="M88" s="52"/>
      <c r="N88" s="52"/>
      <c r="O88" s="52"/>
    </row>
    <row r="89" spans="1:15" ht="14.5" customHeight="1" x14ac:dyDescent="0.35">
      <c r="A89" s="52"/>
      <c r="B89" s="147" t="s">
        <v>79</v>
      </c>
      <c r="C89" s="147"/>
      <c r="D89" s="74"/>
      <c r="E89" s="150" t="s">
        <v>55</v>
      </c>
      <c r="F89" s="151"/>
      <c r="G89" s="55"/>
      <c r="H89" s="75"/>
      <c r="I89" s="53"/>
      <c r="J89" s="52"/>
      <c r="K89" s="52"/>
      <c r="L89" s="52"/>
      <c r="M89" s="52"/>
      <c r="N89" s="52"/>
      <c r="O89" s="52"/>
    </row>
    <row r="90" spans="1:15" ht="14.5" customHeight="1" x14ac:dyDescent="0.35">
      <c r="A90" s="52"/>
      <c r="B90" s="130" t="s">
        <v>57</v>
      </c>
      <c r="C90" s="131" t="s">
        <v>79</v>
      </c>
      <c r="D90" s="74"/>
      <c r="E90" s="90" t="s">
        <v>80</v>
      </c>
      <c r="F90" s="91">
        <f>MIN(C91:C102)</f>
        <v>-5400</v>
      </c>
      <c r="G90" s="55"/>
      <c r="H90" s="75"/>
      <c r="I90" s="53"/>
      <c r="J90" s="52"/>
      <c r="K90" s="52"/>
      <c r="L90" s="52"/>
      <c r="M90" s="52"/>
      <c r="N90" s="52"/>
      <c r="O90" s="52"/>
    </row>
    <row r="91" spans="1:15" ht="14.5" customHeight="1" x14ac:dyDescent="0.35">
      <c r="A91" s="92">
        <f>$F$92</f>
        <v>804.16666666666663</v>
      </c>
      <c r="B91" s="93" t="s">
        <v>27</v>
      </c>
      <c r="C91" s="94">
        <f>C12-C31</f>
        <v>500</v>
      </c>
      <c r="D91" s="54"/>
      <c r="E91" s="90" t="s">
        <v>81</v>
      </c>
      <c r="F91" s="91">
        <f>MAX(C91:C102)</f>
        <v>4000</v>
      </c>
      <c r="G91" s="55"/>
      <c r="H91" s="55"/>
      <c r="I91" s="53"/>
      <c r="J91" s="52"/>
      <c r="K91" s="52"/>
      <c r="L91" s="52"/>
      <c r="M91" s="52"/>
      <c r="N91" s="52"/>
      <c r="O91" s="52"/>
    </row>
    <row r="92" spans="1:15" ht="14.5" customHeight="1" x14ac:dyDescent="0.35">
      <c r="A92" s="92">
        <f t="shared" ref="A92:A102" si="1">$F$92</f>
        <v>804.16666666666663</v>
      </c>
      <c r="B92" s="93" t="s">
        <v>32</v>
      </c>
      <c r="C92" s="94">
        <f t="shared" ref="C92:C102" si="2">C13-C32</f>
        <v>-1100</v>
      </c>
      <c r="D92" s="54"/>
      <c r="E92" s="90" t="s">
        <v>82</v>
      </c>
      <c r="F92" s="91">
        <f>AVERAGE(C91:C102)</f>
        <v>804.16666666666663</v>
      </c>
      <c r="G92" s="55"/>
      <c r="H92" s="55"/>
      <c r="I92" s="53"/>
      <c r="J92" s="52"/>
      <c r="K92" s="52"/>
      <c r="L92" s="52"/>
      <c r="M92" s="52"/>
      <c r="N92" s="52"/>
      <c r="O92" s="52"/>
    </row>
    <row r="93" spans="1:15" ht="14.5" customHeight="1" x14ac:dyDescent="0.35">
      <c r="A93" s="92">
        <f t="shared" si="1"/>
        <v>804.16666666666663</v>
      </c>
      <c r="B93" s="93" t="s">
        <v>33</v>
      </c>
      <c r="C93" s="94">
        <f t="shared" si="2"/>
        <v>1000</v>
      </c>
      <c r="D93" s="54"/>
      <c r="E93" s="55"/>
      <c r="F93" s="55"/>
      <c r="G93" s="55"/>
      <c r="H93" s="55"/>
      <c r="I93" s="53"/>
      <c r="J93" s="52"/>
      <c r="K93" s="52"/>
      <c r="L93" s="52"/>
      <c r="M93" s="52"/>
      <c r="N93" s="52"/>
      <c r="O93" s="52"/>
    </row>
    <row r="94" spans="1:15" ht="14.5" customHeight="1" x14ac:dyDescent="0.35">
      <c r="A94" s="92">
        <f t="shared" si="1"/>
        <v>804.16666666666663</v>
      </c>
      <c r="B94" s="93" t="s">
        <v>59</v>
      </c>
      <c r="C94" s="94">
        <f t="shared" si="2"/>
        <v>2450</v>
      </c>
      <c r="D94" s="54"/>
      <c r="E94" s="55"/>
      <c r="F94" s="55"/>
      <c r="G94" s="55"/>
      <c r="H94" s="55"/>
      <c r="I94" s="53"/>
      <c r="J94" s="52"/>
      <c r="K94" s="52"/>
      <c r="L94" s="52"/>
      <c r="M94" s="52"/>
      <c r="N94" s="52"/>
      <c r="O94" s="52"/>
    </row>
    <row r="95" spans="1:15" ht="14.5" customHeight="1" x14ac:dyDescent="0.35">
      <c r="A95" s="92">
        <f t="shared" si="1"/>
        <v>804.16666666666663</v>
      </c>
      <c r="B95" s="93" t="s">
        <v>60</v>
      </c>
      <c r="C95" s="94">
        <f t="shared" si="2"/>
        <v>1950</v>
      </c>
      <c r="D95" s="54"/>
      <c r="E95" s="55"/>
      <c r="F95" s="55"/>
      <c r="G95" s="55"/>
      <c r="H95" s="55"/>
      <c r="I95" s="53"/>
      <c r="J95" s="52"/>
      <c r="K95" s="52"/>
      <c r="L95" s="52"/>
      <c r="M95" s="52"/>
      <c r="N95" s="52"/>
      <c r="O95" s="52"/>
    </row>
    <row r="96" spans="1:15" ht="14.5" customHeight="1" x14ac:dyDescent="0.35">
      <c r="A96" s="92">
        <f t="shared" si="1"/>
        <v>804.16666666666663</v>
      </c>
      <c r="B96" s="93" t="s">
        <v>61</v>
      </c>
      <c r="C96" s="94">
        <f t="shared" si="2"/>
        <v>-5400</v>
      </c>
      <c r="D96" s="54"/>
      <c r="E96" s="55"/>
      <c r="F96" s="55"/>
      <c r="G96" s="55"/>
      <c r="H96" s="55"/>
      <c r="I96" s="53"/>
      <c r="J96" s="52"/>
      <c r="K96" s="52"/>
      <c r="L96" s="52"/>
      <c r="M96" s="52"/>
      <c r="N96" s="52"/>
      <c r="O96" s="52"/>
    </row>
    <row r="97" spans="1:15" ht="14.5" customHeight="1" x14ac:dyDescent="0.35">
      <c r="A97" s="92">
        <f t="shared" si="1"/>
        <v>804.16666666666663</v>
      </c>
      <c r="B97" s="93" t="s">
        <v>62</v>
      </c>
      <c r="C97" s="94">
        <f t="shared" si="2"/>
        <v>2300</v>
      </c>
      <c r="D97" s="54"/>
      <c r="E97" s="55"/>
      <c r="F97" s="55"/>
      <c r="G97" s="55"/>
      <c r="H97" s="55"/>
      <c r="I97" s="53"/>
      <c r="J97" s="52"/>
      <c r="K97" s="52"/>
      <c r="L97" s="52"/>
      <c r="M97" s="52"/>
      <c r="N97" s="52"/>
      <c r="O97" s="52"/>
    </row>
    <row r="98" spans="1:15" ht="14.5" customHeight="1" x14ac:dyDescent="0.35">
      <c r="A98" s="92">
        <f t="shared" si="1"/>
        <v>804.16666666666663</v>
      </c>
      <c r="B98" s="93" t="s">
        <v>63</v>
      </c>
      <c r="C98" s="94">
        <f t="shared" si="2"/>
        <v>1600</v>
      </c>
      <c r="D98" s="54"/>
      <c r="E98" s="55"/>
      <c r="F98" s="55"/>
      <c r="G98" s="55"/>
      <c r="H98" s="55"/>
      <c r="I98" s="53"/>
      <c r="J98" s="52"/>
      <c r="K98" s="52"/>
      <c r="L98" s="52"/>
      <c r="M98" s="52"/>
      <c r="N98" s="52"/>
      <c r="O98" s="52"/>
    </row>
    <row r="99" spans="1:15" ht="14.5" customHeight="1" x14ac:dyDescent="0.35">
      <c r="A99" s="92">
        <f t="shared" si="1"/>
        <v>804.16666666666663</v>
      </c>
      <c r="B99" s="93" t="s">
        <v>64</v>
      </c>
      <c r="C99" s="94">
        <f t="shared" si="2"/>
        <v>150</v>
      </c>
      <c r="D99" s="54"/>
      <c r="E99" s="55"/>
      <c r="F99" s="55"/>
      <c r="G99" s="55"/>
      <c r="H99" s="55"/>
      <c r="I99" s="53"/>
      <c r="J99" s="52"/>
      <c r="K99" s="52"/>
      <c r="L99" s="52"/>
      <c r="M99" s="52"/>
      <c r="N99" s="52"/>
      <c r="O99" s="52"/>
    </row>
    <row r="100" spans="1:15" ht="14.5" customHeight="1" x14ac:dyDescent="0.35">
      <c r="A100" s="92">
        <f t="shared" si="1"/>
        <v>804.16666666666663</v>
      </c>
      <c r="B100" s="93" t="s">
        <v>65</v>
      </c>
      <c r="C100" s="94">
        <f t="shared" si="2"/>
        <v>1100</v>
      </c>
      <c r="D100" s="54"/>
      <c r="E100" s="55"/>
      <c r="F100" s="55"/>
      <c r="G100" s="55"/>
      <c r="H100" s="55"/>
      <c r="I100" s="53"/>
      <c r="J100" s="52"/>
      <c r="K100" s="52"/>
      <c r="L100" s="52"/>
      <c r="M100" s="52"/>
      <c r="N100" s="52"/>
      <c r="O100" s="52"/>
    </row>
    <row r="101" spans="1:15" ht="14.5" customHeight="1" x14ac:dyDescent="0.35">
      <c r="A101" s="92">
        <f t="shared" si="1"/>
        <v>804.16666666666663</v>
      </c>
      <c r="B101" s="93" t="s">
        <v>66</v>
      </c>
      <c r="C101" s="94">
        <f t="shared" si="2"/>
        <v>1100</v>
      </c>
      <c r="D101" s="54"/>
      <c r="E101" s="55"/>
      <c r="F101" s="55"/>
      <c r="G101" s="55"/>
      <c r="H101" s="55"/>
      <c r="I101" s="53"/>
      <c r="J101" s="52"/>
      <c r="K101" s="52"/>
      <c r="L101" s="52"/>
      <c r="M101" s="52"/>
      <c r="N101" s="52"/>
      <c r="O101" s="52"/>
    </row>
    <row r="102" spans="1:15" ht="14.5" customHeight="1" x14ac:dyDescent="0.35">
      <c r="A102" s="92">
        <f t="shared" si="1"/>
        <v>804.16666666666663</v>
      </c>
      <c r="B102" s="93" t="s">
        <v>67</v>
      </c>
      <c r="C102" s="94">
        <f t="shared" si="2"/>
        <v>4000</v>
      </c>
      <c r="D102" s="152"/>
      <c r="E102" s="153"/>
      <c r="F102" s="153"/>
      <c r="G102" s="153"/>
      <c r="H102" s="153"/>
      <c r="I102" s="53"/>
      <c r="J102" s="52"/>
      <c r="K102" s="52"/>
      <c r="L102" s="52"/>
      <c r="M102" s="52"/>
      <c r="N102" s="52"/>
      <c r="O102" s="52"/>
    </row>
    <row r="103" spans="1:15" ht="17.149999999999999" customHeight="1" x14ac:dyDescent="0.45">
      <c r="A103" s="52"/>
      <c r="B103" s="37" t="s">
        <v>83</v>
      </c>
      <c r="C103" s="38">
        <f>SUM(C91:C102)</f>
        <v>9650</v>
      </c>
      <c r="D103" s="154"/>
      <c r="E103" s="155"/>
      <c r="F103" s="155"/>
      <c r="G103" s="155"/>
      <c r="H103" s="155"/>
      <c r="I103" s="53"/>
      <c r="J103" s="52"/>
      <c r="K103" s="52"/>
      <c r="L103" s="52"/>
      <c r="M103" s="52"/>
      <c r="N103" s="52"/>
      <c r="O103" s="52"/>
    </row>
    <row r="104" spans="1:15" ht="14.5" customHeight="1" x14ac:dyDescent="0.35">
      <c r="A104" s="52"/>
      <c r="B104" s="52"/>
      <c r="C104" s="52"/>
      <c r="D104" s="52"/>
      <c r="E104" s="52"/>
      <c r="F104" s="52"/>
      <c r="G104" s="52"/>
      <c r="H104" s="52"/>
      <c r="I104" s="52"/>
      <c r="J104" s="52"/>
      <c r="K104" s="52"/>
      <c r="L104" s="52"/>
      <c r="M104" s="52"/>
      <c r="N104" s="52"/>
      <c r="O104" s="52"/>
    </row>
    <row r="105" spans="1:15" x14ac:dyDescent="0.35">
      <c r="A105" s="122"/>
      <c r="B105" s="122"/>
      <c r="C105" s="122"/>
      <c r="D105" s="122"/>
      <c r="E105" s="122"/>
      <c r="F105" s="122"/>
      <c r="G105" s="122"/>
      <c r="H105" s="122"/>
      <c r="I105" s="122"/>
      <c r="J105" s="122"/>
      <c r="K105" s="122"/>
      <c r="L105" s="122"/>
      <c r="M105" s="122"/>
      <c r="N105" s="122"/>
      <c r="O105" s="122"/>
    </row>
    <row r="106" spans="1:15" ht="26" x14ac:dyDescent="0.35">
      <c r="A106" s="148" t="s">
        <v>84</v>
      </c>
      <c r="B106" s="148"/>
      <c r="C106" s="148"/>
      <c r="D106" s="148"/>
      <c r="E106" s="148"/>
      <c r="F106" s="148"/>
      <c r="G106" s="148"/>
      <c r="H106" s="148"/>
      <c r="I106" s="148"/>
      <c r="J106" s="148"/>
      <c r="K106" s="148"/>
      <c r="L106" s="148"/>
      <c r="M106" s="148"/>
      <c r="N106" s="148"/>
      <c r="O106" s="148"/>
    </row>
    <row r="107" spans="1:15" x14ac:dyDescent="0.35">
      <c r="A107" s="122"/>
      <c r="B107" s="122"/>
      <c r="C107" s="122"/>
      <c r="D107" s="122"/>
      <c r="E107" s="122"/>
      <c r="F107" s="122"/>
      <c r="G107" s="122"/>
      <c r="H107" s="122"/>
      <c r="I107" s="122"/>
      <c r="J107" s="122"/>
      <c r="K107" s="122"/>
      <c r="L107" s="122"/>
      <c r="M107" s="122"/>
      <c r="N107" s="122"/>
      <c r="O107" s="122"/>
    </row>
    <row r="108" spans="1:15" ht="19.5" x14ac:dyDescent="0.45">
      <c r="A108" s="122"/>
      <c r="B108" s="149" t="s">
        <v>84</v>
      </c>
      <c r="C108" s="149"/>
      <c r="D108" s="123"/>
      <c r="E108" s="159" t="s">
        <v>85</v>
      </c>
      <c r="F108" s="159"/>
      <c r="G108" s="159"/>
      <c r="H108" s="159"/>
      <c r="I108" s="159"/>
      <c r="J108" s="122"/>
      <c r="K108" s="122"/>
      <c r="L108" s="122"/>
      <c r="M108" s="122"/>
      <c r="N108" s="122"/>
      <c r="O108" s="122"/>
    </row>
    <row r="109" spans="1:15" ht="19.5" x14ac:dyDescent="0.45">
      <c r="A109" s="122"/>
      <c r="B109" s="130" t="s">
        <v>86</v>
      </c>
      <c r="C109" s="131" t="s">
        <v>87</v>
      </c>
      <c r="D109" s="124"/>
      <c r="E109" s="144">
        <f ca="1">C112</f>
        <v>-86400</v>
      </c>
      <c r="F109" s="144"/>
      <c r="G109" s="144"/>
      <c r="H109" s="144"/>
      <c r="I109" s="144"/>
      <c r="J109" s="122"/>
      <c r="K109" s="122"/>
      <c r="L109" s="122"/>
      <c r="M109" s="122"/>
      <c r="N109" s="122"/>
      <c r="O109" s="122"/>
    </row>
    <row r="110" spans="1:15" x14ac:dyDescent="0.35">
      <c r="A110" s="122"/>
      <c r="B110" s="43" t="s">
        <v>88</v>
      </c>
      <c r="C110" s="44">
        <f ca="1">Assets!D10</f>
        <v>3000</v>
      </c>
      <c r="D110" s="122"/>
      <c r="E110" s="122"/>
      <c r="F110" s="122"/>
      <c r="G110" s="122"/>
      <c r="H110" s="122"/>
      <c r="I110" s="122"/>
      <c r="J110" s="122"/>
      <c r="K110" s="122"/>
      <c r="L110" s="122"/>
      <c r="M110" s="122"/>
      <c r="N110" s="122"/>
      <c r="O110" s="122"/>
    </row>
    <row r="111" spans="1:15" x14ac:dyDescent="0.35">
      <c r="A111" s="122"/>
      <c r="B111" s="43" t="s">
        <v>89</v>
      </c>
      <c r="C111" s="44">
        <f ca="1">Liabilities!B23</f>
        <v>89400</v>
      </c>
      <c r="D111" s="122"/>
      <c r="E111" s="122"/>
      <c r="F111" s="122"/>
      <c r="G111" s="122"/>
      <c r="H111" s="122"/>
      <c r="I111" s="122"/>
      <c r="J111" s="122"/>
      <c r="K111" s="122"/>
      <c r="L111" s="122"/>
      <c r="M111" s="122"/>
      <c r="N111" s="122"/>
      <c r="O111" s="122"/>
    </row>
    <row r="112" spans="1:15" x14ac:dyDescent="0.35">
      <c r="A112" s="122"/>
      <c r="B112" s="37" t="s">
        <v>84</v>
      </c>
      <c r="C112" s="38">
        <f ca="1">C110-C111</f>
        <v>-86400</v>
      </c>
      <c r="D112" s="122"/>
      <c r="E112" s="122"/>
      <c r="F112" s="122"/>
      <c r="G112" s="122"/>
      <c r="H112" s="122"/>
      <c r="I112" s="122"/>
      <c r="J112" s="122"/>
      <c r="K112" s="122"/>
      <c r="L112" s="122"/>
      <c r="M112" s="122"/>
      <c r="N112" s="122"/>
      <c r="O112" s="122"/>
    </row>
    <row r="113" spans="1:15" x14ac:dyDescent="0.35">
      <c r="A113" s="122"/>
      <c r="B113" s="122"/>
      <c r="C113" s="122"/>
      <c r="D113" s="122"/>
      <c r="E113" s="122"/>
      <c r="F113" s="122"/>
      <c r="G113" s="122"/>
      <c r="H113" s="122"/>
      <c r="I113" s="122"/>
      <c r="J113" s="122"/>
      <c r="K113" s="122"/>
      <c r="L113" s="122"/>
      <c r="M113" s="122"/>
      <c r="N113" s="122"/>
      <c r="O113" s="122"/>
    </row>
  </sheetData>
  <mergeCells count="26">
    <mergeCell ref="D63:H63"/>
    <mergeCell ref="E108:I108"/>
    <mergeCell ref="B2:D4"/>
    <mergeCell ref="D24:H24"/>
    <mergeCell ref="D23:H23"/>
    <mergeCell ref="A8:O8"/>
    <mergeCell ref="D62:H62"/>
    <mergeCell ref="B10:C10"/>
    <mergeCell ref="B29:C29"/>
    <mergeCell ref="A27:O27"/>
    <mergeCell ref="A47:O47"/>
    <mergeCell ref="B49:C49"/>
    <mergeCell ref="D43:H43"/>
    <mergeCell ref="D44:H44"/>
    <mergeCell ref="E109:I109"/>
    <mergeCell ref="A67:O67"/>
    <mergeCell ref="A87:O87"/>
    <mergeCell ref="B89:C89"/>
    <mergeCell ref="A106:O106"/>
    <mergeCell ref="B108:C108"/>
    <mergeCell ref="E89:F89"/>
    <mergeCell ref="D102:H102"/>
    <mergeCell ref="D103:H103"/>
    <mergeCell ref="B69:C69"/>
    <mergeCell ref="D83:H83"/>
    <mergeCell ref="D84:H84"/>
  </mergeCells>
  <phoneticPr fontId="13" type="noConversion"/>
  <dataValidations count="1">
    <dataValidation type="decimal" operator="greaterThan" allowBlank="1" showInputMessage="1" showErrorMessage="1" sqref="C12:C23 C51:C62 C71:C82 C31:C42 C110:C111" xr:uid="{17F55AB1-F9C6-4C12-A4E6-9E3036051D33}">
      <formula1>-1</formula1>
    </dataValidation>
  </dataValidations>
  <pageMargins left="0.7" right="0.7" top="0.75" bottom="0.75" header="0.3" footer="0.3"/>
  <pageSetup paperSize="9" scale="35" orientation="portrait" r:id="rId1"/>
  <drawing r:id="rId2"/>
  <tableParts count="6">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093FB-6519-4723-BE7C-0D35A25714D7}">
  <sheetPr codeName="Sheet5">
    <tabColor theme="6" tint="0.59999389629810485"/>
  </sheetPr>
  <dimension ref="B1:AD41"/>
  <sheetViews>
    <sheetView topLeftCell="G6" zoomScaleNormal="100" workbookViewId="0">
      <selection activeCell="M23" sqref="M23:R25"/>
    </sheetView>
  </sheetViews>
  <sheetFormatPr defaultColWidth="8.453125" defaultRowHeight="14.5" x14ac:dyDescent="0.35"/>
  <cols>
    <col min="1" max="1" width="8.453125" style="7"/>
    <col min="2" max="2" width="15.453125" style="7" customWidth="1"/>
    <col min="3" max="3" width="11.453125" style="7" bestFit="1" customWidth="1"/>
    <col min="4" max="4" width="15.1796875" style="7" customWidth="1"/>
    <col min="5" max="6" width="11.453125" style="7" bestFit="1" customWidth="1"/>
    <col min="7" max="7" width="14.453125" style="7" customWidth="1"/>
    <col min="8" max="10" width="11.453125" style="7" bestFit="1" customWidth="1"/>
    <col min="11" max="11" width="12.81640625" style="7" customWidth="1"/>
    <col min="12" max="16384" width="8.453125" style="7"/>
  </cols>
  <sheetData>
    <row r="1" spans="2:30" x14ac:dyDescent="0.35">
      <c r="O1" s="35"/>
      <c r="P1" s="35"/>
      <c r="Q1" s="35"/>
      <c r="R1" s="35"/>
      <c r="S1" s="35"/>
      <c r="T1" s="35"/>
      <c r="U1" s="35"/>
      <c r="V1" s="35"/>
      <c r="W1" s="35"/>
      <c r="X1" s="35"/>
      <c r="Y1" s="35"/>
      <c r="Z1" s="35"/>
      <c r="AA1" s="35"/>
      <c r="AB1" s="35"/>
      <c r="AC1" s="35"/>
      <c r="AD1" s="35"/>
    </row>
    <row r="2" spans="2:30" x14ac:dyDescent="0.35">
      <c r="B2" s="196" t="s">
        <v>90</v>
      </c>
      <c r="C2" s="196"/>
      <c r="D2" s="196"/>
      <c r="G2" s="8"/>
      <c r="O2" s="35"/>
      <c r="P2" s="35"/>
      <c r="Q2" s="35"/>
      <c r="R2" s="35"/>
      <c r="S2" s="35"/>
      <c r="T2" s="35"/>
      <c r="U2" s="35"/>
      <c r="V2" s="35"/>
      <c r="W2" s="35"/>
      <c r="X2" s="35"/>
      <c r="Y2" s="35"/>
      <c r="Z2" s="35"/>
      <c r="AA2" s="35"/>
      <c r="AB2" s="35"/>
      <c r="AC2" s="35"/>
      <c r="AD2" s="35"/>
    </row>
    <row r="3" spans="2:30" x14ac:dyDescent="0.35">
      <c r="B3" s="196"/>
      <c r="C3" s="196"/>
      <c r="D3" s="196"/>
      <c r="F3" s="9" t="s">
        <v>2</v>
      </c>
      <c r="G3" s="8"/>
      <c r="K3" s="87">
        <f ca="1">TODAY()</f>
        <v>44587</v>
      </c>
      <c r="O3" s="35"/>
      <c r="P3" s="35"/>
      <c r="Q3" s="35"/>
      <c r="R3" s="35"/>
      <c r="S3" s="35"/>
      <c r="T3" s="35"/>
      <c r="U3" s="35"/>
      <c r="V3" s="35"/>
      <c r="W3" s="35"/>
      <c r="X3" s="35"/>
      <c r="Y3" s="35"/>
      <c r="Z3" s="35"/>
      <c r="AA3" s="35"/>
      <c r="AB3" s="35"/>
      <c r="AC3" s="35"/>
      <c r="AD3" s="35"/>
    </row>
    <row r="4" spans="2:30" x14ac:dyDescent="0.35">
      <c r="B4" s="197"/>
      <c r="C4" s="197"/>
      <c r="D4" s="197"/>
      <c r="E4" s="10"/>
      <c r="F4" s="10"/>
      <c r="G4" s="11"/>
      <c r="H4" s="10"/>
      <c r="I4" s="10"/>
      <c r="J4" s="10"/>
      <c r="K4" s="10"/>
      <c r="O4" s="35"/>
      <c r="P4" s="35"/>
      <c r="Q4" s="35"/>
      <c r="R4" s="35"/>
      <c r="S4" s="35"/>
      <c r="T4" s="35"/>
      <c r="U4" s="35"/>
      <c r="V4" s="35"/>
      <c r="W4" s="35"/>
      <c r="X4" s="35"/>
      <c r="Y4" s="35"/>
      <c r="Z4" s="35"/>
      <c r="AA4" s="35"/>
      <c r="AB4" s="35"/>
      <c r="AC4" s="35"/>
      <c r="AD4" s="35"/>
    </row>
    <row r="5" spans="2:30" x14ac:dyDescent="0.35">
      <c r="O5" s="35"/>
      <c r="P5" s="35"/>
      <c r="Q5" s="35"/>
      <c r="R5" s="35"/>
      <c r="S5" s="35"/>
      <c r="T5" s="35"/>
      <c r="U5" s="35"/>
      <c r="V5" s="35"/>
      <c r="W5" s="35"/>
      <c r="X5" s="35"/>
      <c r="Y5" s="35"/>
      <c r="Z5" s="35"/>
      <c r="AA5" s="35"/>
      <c r="AB5" s="35"/>
      <c r="AC5" s="35"/>
      <c r="AD5" s="35"/>
    </row>
    <row r="6" spans="2:30" x14ac:dyDescent="0.35">
      <c r="O6" s="35"/>
      <c r="P6" s="35"/>
      <c r="Q6" s="35"/>
      <c r="R6" s="35"/>
      <c r="S6" s="35"/>
      <c r="T6" s="35"/>
      <c r="U6" s="35"/>
      <c r="V6" s="35"/>
      <c r="W6" s="35"/>
      <c r="X6" s="35"/>
      <c r="Y6" s="35"/>
      <c r="Z6" s="35"/>
      <c r="AA6" s="35"/>
      <c r="AB6" s="35"/>
      <c r="AC6" s="35"/>
      <c r="AD6" s="35"/>
    </row>
    <row r="7" spans="2:30" x14ac:dyDescent="0.35">
      <c r="B7" s="9" t="s">
        <v>91</v>
      </c>
      <c r="D7" s="111">
        <v>36436</v>
      </c>
      <c r="I7" s="195" t="s">
        <v>92</v>
      </c>
      <c r="J7" s="195"/>
      <c r="K7" s="195"/>
      <c r="O7" s="35"/>
      <c r="P7" s="35"/>
      <c r="Q7" s="35"/>
      <c r="R7" s="35"/>
      <c r="S7" s="35"/>
      <c r="T7" s="35"/>
      <c r="U7" s="35"/>
      <c r="V7" s="35"/>
      <c r="W7" s="35"/>
      <c r="X7" s="35"/>
      <c r="Y7" s="35"/>
      <c r="Z7" s="35"/>
      <c r="AA7" s="35"/>
      <c r="AB7" s="35"/>
      <c r="AC7" s="35"/>
      <c r="AD7" s="35"/>
    </row>
    <row r="8" spans="2:30" x14ac:dyDescent="0.35">
      <c r="B8" s="9"/>
      <c r="O8" s="35"/>
      <c r="P8" s="35"/>
      <c r="Q8" s="35"/>
      <c r="R8" s="35"/>
      <c r="S8" s="35"/>
      <c r="T8" s="35"/>
      <c r="U8" s="35"/>
      <c r="V8" s="35"/>
      <c r="W8" s="35"/>
      <c r="X8" s="35"/>
      <c r="Y8" s="35"/>
      <c r="Z8" s="35"/>
      <c r="AA8" s="35"/>
      <c r="AB8" s="35"/>
      <c r="AC8" s="35"/>
      <c r="AD8" s="35"/>
    </row>
    <row r="9" spans="2:30" x14ac:dyDescent="0.35">
      <c r="B9" s="9" t="s">
        <v>93</v>
      </c>
      <c r="D9" s="12">
        <f ca="1">INT((K3-D7)/365)</f>
        <v>22</v>
      </c>
      <c r="O9" s="35"/>
      <c r="P9" s="35"/>
      <c r="Q9" s="35"/>
      <c r="R9" s="35"/>
      <c r="S9" s="35"/>
      <c r="T9" s="35"/>
      <c r="U9" s="35"/>
      <c r="V9" s="35"/>
      <c r="W9" s="35"/>
      <c r="X9" s="35"/>
      <c r="Y9" s="35"/>
      <c r="Z9" s="35"/>
      <c r="AA9" s="35"/>
      <c r="AB9" s="35"/>
      <c r="AC9" s="35"/>
      <c r="AD9" s="35"/>
    </row>
    <row r="10" spans="2:30" x14ac:dyDescent="0.35">
      <c r="O10" s="35"/>
      <c r="P10" s="35"/>
      <c r="Q10" s="35"/>
      <c r="R10" s="35"/>
      <c r="S10" s="35"/>
      <c r="T10" s="35"/>
      <c r="U10" s="35"/>
      <c r="V10" s="35"/>
      <c r="W10" s="35"/>
      <c r="X10" s="35"/>
      <c r="Y10" s="35"/>
      <c r="Z10" s="35"/>
      <c r="AA10" s="35"/>
      <c r="AB10" s="35"/>
      <c r="AC10" s="35"/>
      <c r="AD10" s="35"/>
    </row>
    <row r="11" spans="2:30" x14ac:dyDescent="0.35">
      <c r="B11" s="198" t="s">
        <v>94</v>
      </c>
      <c r="C11" s="199"/>
      <c r="D11" s="199"/>
      <c r="E11" s="199"/>
      <c r="F11" s="199"/>
      <c r="G11" s="199"/>
      <c r="H11" s="199"/>
      <c r="I11" s="199"/>
      <c r="J11" s="199"/>
      <c r="K11" s="200"/>
      <c r="M11" s="215" t="s">
        <v>95</v>
      </c>
      <c r="N11" s="216"/>
      <c r="O11" s="216"/>
      <c r="P11" s="216"/>
      <c r="Q11" s="216"/>
      <c r="R11" s="217"/>
      <c r="S11" s="35"/>
      <c r="T11" s="35"/>
      <c r="U11" s="35"/>
      <c r="V11" s="35"/>
      <c r="W11" s="35"/>
      <c r="X11" s="35"/>
      <c r="Y11" s="35"/>
      <c r="Z11" s="35"/>
      <c r="AA11" s="35"/>
      <c r="AB11" s="35"/>
      <c r="AC11" s="35"/>
      <c r="AD11" s="35"/>
    </row>
    <row r="12" spans="2:30" x14ac:dyDescent="0.35">
      <c r="B12" s="201" t="s">
        <v>18</v>
      </c>
      <c r="C12" s="202"/>
      <c r="D12" s="202"/>
      <c r="E12" s="202"/>
      <c r="F12" s="202"/>
      <c r="G12" s="203"/>
      <c r="H12" s="221" t="s">
        <v>96</v>
      </c>
      <c r="I12" s="221"/>
      <c r="J12" s="221"/>
      <c r="K12" s="222"/>
      <c r="L12" s="114"/>
      <c r="M12" s="225" t="s">
        <v>97</v>
      </c>
      <c r="N12" s="226"/>
      <c r="O12" s="226"/>
      <c r="P12" s="241" t="s">
        <v>98</v>
      </c>
      <c r="Q12" s="242"/>
      <c r="R12" s="242"/>
      <c r="S12" s="35"/>
      <c r="T12" s="35"/>
      <c r="U12" s="35"/>
      <c r="V12" s="35"/>
      <c r="W12" s="35"/>
      <c r="X12" s="35"/>
      <c r="Y12" s="35"/>
      <c r="Z12" s="35"/>
      <c r="AA12" s="35"/>
      <c r="AB12" s="35"/>
      <c r="AC12" s="35"/>
      <c r="AD12" s="35"/>
    </row>
    <row r="13" spans="2:30" ht="14.5" customHeight="1" x14ac:dyDescent="0.35">
      <c r="B13" s="204"/>
      <c r="C13" s="205"/>
      <c r="D13" s="205"/>
      <c r="E13" s="205"/>
      <c r="F13" s="205"/>
      <c r="G13" s="206"/>
      <c r="H13" s="223"/>
      <c r="I13" s="223"/>
      <c r="J13" s="223"/>
      <c r="K13" s="224"/>
      <c r="L13" s="114"/>
      <c r="M13" s="226"/>
      <c r="N13" s="226"/>
      <c r="O13" s="226"/>
      <c r="P13" s="242"/>
      <c r="Q13" s="242"/>
      <c r="R13" s="242"/>
      <c r="S13" s="35"/>
      <c r="T13" s="35"/>
      <c r="U13" s="35"/>
      <c r="V13" s="35"/>
      <c r="W13" s="35"/>
      <c r="X13" s="35"/>
      <c r="Y13" s="35"/>
      <c r="Z13" s="35"/>
      <c r="AA13" s="35"/>
      <c r="AB13" s="35"/>
      <c r="AC13" s="35"/>
      <c r="AD13" s="35"/>
    </row>
    <row r="14" spans="2:30" ht="14.5" customHeight="1" x14ac:dyDescent="0.35">
      <c r="B14" s="207" t="s">
        <v>99</v>
      </c>
      <c r="C14" s="207"/>
      <c r="D14" s="207" t="s">
        <v>100</v>
      </c>
      <c r="E14" s="207"/>
      <c r="F14" s="207" t="s">
        <v>101</v>
      </c>
      <c r="G14" s="207"/>
      <c r="H14" s="220" t="s">
        <v>102</v>
      </c>
      <c r="I14" s="220"/>
      <c r="J14" s="220" t="s">
        <v>103</v>
      </c>
      <c r="K14" s="220"/>
      <c r="L14" s="112"/>
      <c r="M14" s="243">
        <v>0.4</v>
      </c>
      <c r="N14" s="243"/>
      <c r="O14" s="243"/>
      <c r="P14" s="228">
        <f ca="1">M14*Assets!B22</f>
        <v>1800</v>
      </c>
      <c r="Q14" s="228"/>
      <c r="R14" s="228"/>
      <c r="S14" s="35"/>
      <c r="T14" s="35"/>
      <c r="U14" s="35"/>
      <c r="V14" s="35"/>
      <c r="W14" s="35"/>
      <c r="X14" s="35"/>
      <c r="Y14" s="35"/>
      <c r="Z14" s="35"/>
      <c r="AA14" s="35"/>
      <c r="AB14" s="35"/>
      <c r="AC14" s="35"/>
      <c r="AD14" s="35"/>
    </row>
    <row r="15" spans="2:30" ht="14.5" customHeight="1" x14ac:dyDescent="0.35">
      <c r="B15" s="208" cm="1">
        <f t="array" aca="1" ref="B15" ca="1">IF(D9&lt;=35,0.23*(SUM(Table1[VALUE])/2),IF(AND(D9&gt;35,D9&lt;45),(SUM(Table1[VALUE])/2)*0.21,IF(AND(D9&gt;45,D9&lt;50),(SUM(Table1[VALUE])/2)*0.19,IF(AND(D9&gt;50,D9&lt;55),(SUM(Table1[VALUE])/2)*0.15,IF(AND(D9&gt;55,D9&lt;60),(SUM(Table1[VALUE])/2)*0.12,IF(AND(D9&gt;60,D9&lt;65),(SUM(Table1[VALUE])/2)*0.035,(SUM(Table1[VALUE]/2))*0.01))))))</f>
        <v>690</v>
      </c>
      <c r="C15" s="208"/>
      <c r="D15" s="208">
        <f ca="1">IF(D9&lt;=35,0.06*(SUM(Table1[VALUE])/2),IF(AND(D9&gt;35,D9&lt;45),(SUM(Table1[VALUE])/2)*0.07,IF(AND(D9&gt;45,D9&lt;50),(SUM(Table1[VALUE])/2)*0.08,IF(AND(D9&gt;50,D9&lt;55),(SUM(Table1[VALUE])/2)*0.115,IF(AND(D9&gt;55,D9&lt;60),(SUM(Table1[VALUE])/2)*0.035,IF(AND(D9&gt;60,D9&lt;65),(SUM(Table1[VALUE])/2)*0.025,(SUM(Table1[VALUE])/2)*0.01))))))</f>
        <v>180</v>
      </c>
      <c r="E15" s="208"/>
      <c r="F15" s="208">
        <f ca="1">IF(D9&lt;=35,0.08*(SUM(Table1[VALUE])/2),IF(AND(D9&gt;35,D9&lt;45),(SUM(Table1[VALUE])/2)*0.09,IF(AND(D9&gt;45,D9&lt;50),(SUM(Table1[VALUE])/2)*0.1,IF(AND(D9&gt;50,D9&lt;55),(SUM(Table1[VALUE])/2)*0.105,IF(AND(D9&gt;55,D9&lt;60),(SUM(Table1[VALUE])/2)*0.105,IF(AND(D9&gt;60,D9&lt;65),(SUM(Table1[VALUE])/2)*0.105,(SUM(Table1[VALUE])/2)*0.105))))))</f>
        <v>240</v>
      </c>
      <c r="G15" s="208"/>
      <c r="H15" s="208">
        <f ca="1">IF(D9&lt;=55,(SUM(Table1[VALUE])/2)*0.2,IF(AND(D9&gt;55,D9&lt;60),(SUM(Table1[VALUE])/2)*0.13,IF(AND(D9&gt;60,D9&lt;65),(SUM(Table1[VALUE])/2)*0.09,(SUM(Table1[VALUE])/2)*0.075)))</f>
        <v>600</v>
      </c>
      <c r="I15" s="208"/>
      <c r="J15" s="208">
        <f ca="1">IF(D9&lt;=55,(SUM(Table1[VALUE])/2)*0.17,IF(AND(D9&gt;55,D9&lt;60),(SUM(Table1[VALUE])/2)*0.13,IF(AND(D9&gt;60,D9&lt;65),(SUM(Table1[VALUE])/2)*0.075,(SUM(Table1[VALUE])/2)*0.05)))</f>
        <v>510.00000000000006</v>
      </c>
      <c r="K15" s="208"/>
      <c r="L15" s="112"/>
      <c r="M15" s="243"/>
      <c r="N15" s="243"/>
      <c r="O15" s="243"/>
      <c r="P15" s="228"/>
      <c r="Q15" s="228"/>
      <c r="R15" s="228"/>
      <c r="S15" s="35"/>
      <c r="T15" s="35"/>
      <c r="U15" s="35"/>
      <c r="V15" s="35"/>
      <c r="W15" s="35"/>
      <c r="X15" s="35"/>
      <c r="Y15" s="35"/>
      <c r="Z15" s="35"/>
      <c r="AA15" s="35"/>
      <c r="AB15" s="35"/>
      <c r="AC15" s="35"/>
      <c r="AD15" s="35"/>
    </row>
    <row r="16" spans="2:30" ht="14.5" customHeight="1" x14ac:dyDescent="0.35">
      <c r="B16" s="117"/>
      <c r="K16" s="118"/>
      <c r="L16" s="113"/>
      <c r="M16" s="115"/>
      <c r="N16" s="113"/>
      <c r="O16" s="35"/>
      <c r="P16" s="35"/>
      <c r="Q16" s="35"/>
      <c r="R16" s="116"/>
      <c r="S16" s="35"/>
      <c r="T16" s="35"/>
      <c r="U16" s="35"/>
      <c r="V16" s="35"/>
      <c r="W16" s="35"/>
      <c r="X16" s="35"/>
      <c r="Y16" s="35"/>
      <c r="Z16" s="35"/>
      <c r="AA16" s="35"/>
      <c r="AB16" s="35"/>
      <c r="AC16" s="35"/>
      <c r="AD16" s="35"/>
    </row>
    <row r="17" spans="2:30" x14ac:dyDescent="0.35">
      <c r="B17" s="212" t="s">
        <v>104</v>
      </c>
      <c r="C17" s="212"/>
      <c r="D17" s="212"/>
      <c r="E17" s="213" t="s">
        <v>105</v>
      </c>
      <c r="F17" s="213"/>
      <c r="G17" s="213"/>
      <c r="H17" s="227" t="s">
        <v>106</v>
      </c>
      <c r="I17" s="227"/>
      <c r="J17" s="227"/>
      <c r="K17" s="227"/>
      <c r="M17" s="218" t="s">
        <v>107</v>
      </c>
      <c r="N17" s="210"/>
      <c r="O17" s="210"/>
      <c r="P17" s="210"/>
      <c r="Q17" s="210"/>
      <c r="R17" s="219"/>
      <c r="S17" s="35"/>
      <c r="T17" s="35"/>
      <c r="U17" s="35"/>
      <c r="V17" s="35"/>
      <c r="W17" s="35"/>
      <c r="X17" s="35"/>
      <c r="Y17" s="35"/>
      <c r="Z17" s="35"/>
      <c r="AA17" s="35"/>
      <c r="AB17" s="35"/>
      <c r="AC17" s="35"/>
      <c r="AD17" s="35"/>
    </row>
    <row r="18" spans="2:30" ht="14.5" customHeight="1" x14ac:dyDescent="0.35">
      <c r="B18" s="214">
        <f ca="1">SUM(Table1[VALUE])/2</f>
        <v>3000</v>
      </c>
      <c r="C18" s="214"/>
      <c r="D18" s="214"/>
      <c r="E18" s="214">
        <f ca="1">B18-H18</f>
        <v>2400</v>
      </c>
      <c r="F18" s="214"/>
      <c r="G18" s="214"/>
      <c r="H18" s="214">
        <f ca="1">H15</f>
        <v>600</v>
      </c>
      <c r="I18" s="214"/>
      <c r="J18" s="214"/>
      <c r="K18" s="214"/>
      <c r="M18" s="244">
        <v>200</v>
      </c>
      <c r="N18" s="245"/>
      <c r="O18" s="245"/>
      <c r="P18" s="245"/>
      <c r="Q18" s="245"/>
      <c r="R18" s="246"/>
      <c r="S18" s="35"/>
      <c r="T18" s="35"/>
      <c r="U18" s="35"/>
      <c r="V18" s="35"/>
      <c r="W18" s="35"/>
      <c r="X18" s="35"/>
      <c r="Y18" s="35"/>
      <c r="Z18" s="35"/>
      <c r="AA18" s="35"/>
      <c r="AB18" s="35"/>
      <c r="AC18" s="35"/>
      <c r="AD18" s="35"/>
    </row>
    <row r="19" spans="2:30" ht="14.5" customHeight="1" x14ac:dyDescent="0.35">
      <c r="B19" s="214"/>
      <c r="C19" s="214"/>
      <c r="D19" s="214"/>
      <c r="E19" s="214"/>
      <c r="F19" s="214"/>
      <c r="G19" s="214"/>
      <c r="H19" s="214"/>
      <c r="I19" s="214"/>
      <c r="J19" s="214"/>
      <c r="K19" s="214"/>
      <c r="M19" s="247"/>
      <c r="N19" s="248"/>
      <c r="O19" s="248"/>
      <c r="P19" s="248"/>
      <c r="Q19" s="248"/>
      <c r="R19" s="249"/>
      <c r="S19" s="35"/>
      <c r="T19" s="35"/>
      <c r="U19" s="35"/>
      <c r="V19" s="35"/>
      <c r="W19" s="35"/>
      <c r="X19" s="35"/>
      <c r="Y19" s="35"/>
      <c r="Z19" s="35"/>
      <c r="AA19" s="35"/>
      <c r="AB19" s="35"/>
      <c r="AC19" s="35"/>
      <c r="AD19" s="35"/>
    </row>
    <row r="20" spans="2:30" x14ac:dyDescent="0.35">
      <c r="M20" s="250"/>
      <c r="N20" s="251"/>
      <c r="O20" s="251"/>
      <c r="P20" s="251"/>
      <c r="Q20" s="251"/>
      <c r="R20" s="252"/>
      <c r="S20" s="35"/>
      <c r="T20" s="35"/>
      <c r="U20" s="35"/>
      <c r="V20" s="35"/>
      <c r="W20" s="35"/>
      <c r="X20" s="35"/>
      <c r="Y20" s="35"/>
      <c r="Z20" s="35"/>
      <c r="AA20" s="35"/>
      <c r="AB20" s="35"/>
      <c r="AC20" s="35"/>
      <c r="AD20" s="35"/>
    </row>
    <row r="21" spans="2:30" ht="15.5" x14ac:dyDescent="0.35">
      <c r="B21" s="211"/>
      <c r="C21" s="211"/>
      <c r="D21" s="211"/>
      <c r="E21" s="211"/>
      <c r="F21" s="211"/>
      <c r="G21" s="211"/>
      <c r="H21" s="211"/>
      <c r="I21" s="211"/>
      <c r="J21" s="211"/>
      <c r="K21" s="211"/>
      <c r="M21" s="117"/>
      <c r="O21" s="35"/>
      <c r="P21" s="35"/>
      <c r="Q21" s="35"/>
      <c r="R21" s="116"/>
      <c r="S21" s="35"/>
      <c r="T21" s="35"/>
      <c r="U21" s="35"/>
      <c r="V21" s="35"/>
      <c r="W21" s="35"/>
      <c r="X21" s="35"/>
      <c r="Y21" s="35"/>
      <c r="Z21" s="35"/>
      <c r="AA21" s="35"/>
      <c r="AB21" s="35"/>
      <c r="AC21" s="35"/>
      <c r="AD21" s="35"/>
    </row>
    <row r="22" spans="2:30" ht="15" customHeight="1" x14ac:dyDescent="0.35">
      <c r="B22" s="210"/>
      <c r="C22" s="210"/>
      <c r="D22" s="210"/>
      <c r="E22" s="210"/>
      <c r="F22" s="210"/>
      <c r="G22" s="210"/>
      <c r="H22" s="210"/>
      <c r="I22" s="210"/>
      <c r="J22" s="210"/>
      <c r="K22" s="210"/>
      <c r="M22" s="218" t="s">
        <v>108</v>
      </c>
      <c r="N22" s="210"/>
      <c r="O22" s="210"/>
      <c r="P22" s="210"/>
      <c r="Q22" s="210"/>
      <c r="R22" s="219"/>
      <c r="S22" s="35"/>
      <c r="T22" s="35"/>
      <c r="U22" s="35"/>
      <c r="V22" s="35"/>
      <c r="W22" s="35"/>
      <c r="X22" s="35"/>
      <c r="Y22" s="35"/>
      <c r="Z22" s="35"/>
      <c r="AA22" s="35"/>
      <c r="AB22" s="35"/>
      <c r="AC22" s="35"/>
      <c r="AD22" s="35"/>
    </row>
    <row r="23" spans="2:30" ht="14.5" customHeight="1" x14ac:dyDescent="0.35">
      <c r="B23" s="194"/>
      <c r="C23" s="194"/>
      <c r="D23" s="194"/>
      <c r="E23" s="194"/>
      <c r="F23" s="194"/>
      <c r="G23" s="194"/>
      <c r="H23" s="209"/>
      <c r="I23" s="209"/>
      <c r="J23" s="209"/>
      <c r="K23" s="209"/>
      <c r="M23" s="244">
        <f ca="1">P14-M18</f>
        <v>1600</v>
      </c>
      <c r="N23" s="245"/>
      <c r="O23" s="245"/>
      <c r="P23" s="245"/>
      <c r="Q23" s="245"/>
      <c r="R23" s="246"/>
      <c r="S23" s="35"/>
      <c r="T23" s="35"/>
      <c r="U23" s="35"/>
      <c r="V23" s="35"/>
      <c r="W23" s="35"/>
      <c r="X23" s="35"/>
      <c r="Y23" s="35"/>
      <c r="Z23" s="35"/>
      <c r="AA23" s="35"/>
      <c r="AB23" s="35"/>
      <c r="AC23" s="35"/>
      <c r="AD23" s="35"/>
    </row>
    <row r="24" spans="2:30" x14ac:dyDescent="0.35">
      <c r="B24" s="194"/>
      <c r="C24" s="194"/>
      <c r="D24" s="194"/>
      <c r="E24" s="194"/>
      <c r="F24" s="194"/>
      <c r="G24" s="194"/>
      <c r="H24" s="209"/>
      <c r="I24" s="209"/>
      <c r="J24" s="209"/>
      <c r="K24" s="209"/>
      <c r="M24" s="247"/>
      <c r="N24" s="248"/>
      <c r="O24" s="248"/>
      <c r="P24" s="248"/>
      <c r="Q24" s="248"/>
      <c r="R24" s="249"/>
      <c r="S24" s="35"/>
      <c r="T24" s="35"/>
      <c r="U24" s="35"/>
      <c r="V24" s="35"/>
      <c r="W24" s="35"/>
      <c r="X24" s="35"/>
      <c r="Y24" s="35"/>
      <c r="Z24" s="35"/>
      <c r="AA24" s="35"/>
      <c r="AB24" s="35"/>
      <c r="AC24" s="35"/>
      <c r="AD24" s="35"/>
    </row>
    <row r="25" spans="2:30" x14ac:dyDescent="0.35">
      <c r="B25" s="194"/>
      <c r="C25" s="194"/>
      <c r="D25" s="194"/>
      <c r="E25" s="194"/>
      <c r="F25" s="194"/>
      <c r="G25" s="194"/>
      <c r="H25" s="209"/>
      <c r="I25" s="209"/>
      <c r="J25" s="209"/>
      <c r="K25" s="209"/>
      <c r="M25" s="250"/>
      <c r="N25" s="251"/>
      <c r="O25" s="251"/>
      <c r="P25" s="251"/>
      <c r="Q25" s="251"/>
      <c r="R25" s="252"/>
    </row>
    <row r="26" spans="2:30" ht="14.5" customHeight="1" thickBot="1" x14ac:dyDescent="0.4">
      <c r="B26" s="125"/>
      <c r="C26" s="125"/>
      <c r="D26" s="125"/>
    </row>
    <row r="27" spans="2:30" ht="16" thickBot="1" x14ac:dyDescent="0.4">
      <c r="B27" s="182" t="s">
        <v>109</v>
      </c>
      <c r="C27" s="183"/>
      <c r="D27" s="183"/>
      <c r="E27" s="184"/>
      <c r="G27" s="174" t="s">
        <v>110</v>
      </c>
      <c r="H27" s="175"/>
    </row>
    <row r="28" spans="2:30" ht="15.5" x14ac:dyDescent="0.35">
      <c r="B28" s="185" t="s">
        <v>111</v>
      </c>
      <c r="C28" s="186"/>
      <c r="D28" s="186" t="s">
        <v>112</v>
      </c>
      <c r="E28" s="187"/>
      <c r="G28" s="176"/>
      <c r="H28" s="177"/>
      <c r="M28" s="238" t="s">
        <v>113</v>
      </c>
      <c r="N28" s="239"/>
      <c r="O28" s="239"/>
      <c r="P28" s="239"/>
      <c r="Q28" s="239"/>
      <c r="R28" s="240"/>
    </row>
    <row r="29" spans="2:30" x14ac:dyDescent="0.35">
      <c r="B29" s="190">
        <v>44562</v>
      </c>
      <c r="C29" s="191"/>
      <c r="D29" s="180">
        <f>Sheet2!B3</f>
        <v>500</v>
      </c>
      <c r="E29" s="181"/>
      <c r="G29" s="176"/>
      <c r="H29" s="177"/>
      <c r="M29" s="266" t="s">
        <v>114</v>
      </c>
      <c r="N29" s="267"/>
      <c r="O29" s="267"/>
      <c r="P29" s="267"/>
      <c r="Q29" s="267"/>
      <c r="R29" s="268"/>
    </row>
    <row r="30" spans="2:30" ht="15.65" customHeight="1" x14ac:dyDescent="0.35">
      <c r="B30" s="192">
        <v>44593</v>
      </c>
      <c r="C30" s="193"/>
      <c r="D30" s="180">
        <f>Sheet2!B4</f>
        <v>-1100</v>
      </c>
      <c r="E30" s="181"/>
      <c r="G30" s="176"/>
      <c r="H30" s="177"/>
      <c r="M30" s="260" t="s">
        <v>115</v>
      </c>
      <c r="N30" s="261"/>
      <c r="O30" s="261"/>
      <c r="P30" s="261"/>
      <c r="Q30" s="261"/>
      <c r="R30" s="262"/>
    </row>
    <row r="31" spans="2:30" ht="17.25" customHeight="1" thickBot="1" x14ac:dyDescent="0.4">
      <c r="B31" s="190">
        <v>44621</v>
      </c>
      <c r="C31" s="191"/>
      <c r="D31" s="180">
        <f>Sheet2!B5</f>
        <v>1000</v>
      </c>
      <c r="E31" s="181"/>
      <c r="G31" s="178"/>
      <c r="H31" s="179"/>
      <c r="M31" s="263"/>
      <c r="N31" s="264"/>
      <c r="O31" s="264"/>
      <c r="P31" s="264"/>
      <c r="Q31" s="264"/>
      <c r="R31" s="265"/>
    </row>
    <row r="32" spans="2:30" ht="15.5" x14ac:dyDescent="0.35">
      <c r="B32" s="192">
        <v>44652</v>
      </c>
      <c r="C32" s="193"/>
      <c r="D32" s="180">
        <f>Sheet2!B6</f>
        <v>2450</v>
      </c>
      <c r="E32" s="181"/>
      <c r="M32" s="259"/>
      <c r="N32" s="259"/>
      <c r="O32" s="259"/>
      <c r="P32" s="259"/>
      <c r="Q32" s="259"/>
      <c r="R32" s="259"/>
    </row>
    <row r="33" spans="2:18" ht="15.5" x14ac:dyDescent="0.35">
      <c r="B33" s="190">
        <v>44682</v>
      </c>
      <c r="C33" s="191"/>
      <c r="D33" s="180">
        <f>Sheet2!B7</f>
        <v>1950</v>
      </c>
      <c r="E33" s="181"/>
      <c r="M33" s="238" t="s">
        <v>116</v>
      </c>
      <c r="N33" s="239"/>
      <c r="O33" s="239"/>
      <c r="P33" s="239"/>
      <c r="Q33" s="239"/>
      <c r="R33" s="240"/>
    </row>
    <row r="34" spans="2:18" x14ac:dyDescent="0.35">
      <c r="B34" s="192">
        <v>44713</v>
      </c>
      <c r="C34" s="193"/>
      <c r="D34" s="180">
        <f>Sheet2!B8</f>
        <v>-5400</v>
      </c>
      <c r="E34" s="181"/>
      <c r="M34" s="229" t="s">
        <v>117</v>
      </c>
      <c r="N34" s="230"/>
      <c r="O34" s="230"/>
      <c r="P34" s="230"/>
      <c r="Q34" s="230"/>
      <c r="R34" s="231"/>
    </row>
    <row r="35" spans="2:18" ht="14.5" customHeight="1" x14ac:dyDescent="0.35">
      <c r="B35" s="190">
        <v>44743</v>
      </c>
      <c r="C35" s="191"/>
      <c r="D35" s="180">
        <f>Sheet2!B9</f>
        <v>2300</v>
      </c>
      <c r="E35" s="181"/>
      <c r="M35" s="253" t="s">
        <v>118</v>
      </c>
      <c r="N35" s="254"/>
      <c r="O35" s="254"/>
      <c r="P35" s="254"/>
      <c r="Q35" s="254"/>
      <c r="R35" s="255"/>
    </row>
    <row r="36" spans="2:18" x14ac:dyDescent="0.35">
      <c r="B36" s="192">
        <v>44774</v>
      </c>
      <c r="C36" s="193"/>
      <c r="D36" s="180">
        <f>Sheet2!B10</f>
        <v>1600</v>
      </c>
      <c r="E36" s="181"/>
      <c r="M36" s="256"/>
      <c r="N36" s="257"/>
      <c r="O36" s="257"/>
      <c r="P36" s="257"/>
      <c r="Q36" s="257"/>
      <c r="R36" s="258"/>
    </row>
    <row r="37" spans="2:18" x14ac:dyDescent="0.35">
      <c r="B37" s="190">
        <v>44805</v>
      </c>
      <c r="C37" s="191"/>
      <c r="D37" s="180">
        <f>Sheet2!B11</f>
        <v>150</v>
      </c>
      <c r="E37" s="181"/>
    </row>
    <row r="38" spans="2:18" ht="15.5" x14ac:dyDescent="0.35">
      <c r="B38" s="192">
        <v>44835</v>
      </c>
      <c r="C38" s="193"/>
      <c r="D38" s="180">
        <f>Sheet2!B12</f>
        <v>1100</v>
      </c>
      <c r="E38" s="181"/>
      <c r="M38" s="238" t="s">
        <v>119</v>
      </c>
      <c r="N38" s="239"/>
      <c r="O38" s="239"/>
      <c r="P38" s="239"/>
      <c r="Q38" s="239"/>
      <c r="R38" s="240"/>
    </row>
    <row r="39" spans="2:18" x14ac:dyDescent="0.35">
      <c r="B39" s="190">
        <v>44866</v>
      </c>
      <c r="C39" s="191"/>
      <c r="D39" s="180">
        <f>Sheet2!B13</f>
        <v>1100</v>
      </c>
      <c r="E39" s="181"/>
      <c r="M39" s="229" t="s">
        <v>117</v>
      </c>
      <c r="N39" s="230"/>
      <c r="O39" s="230"/>
      <c r="P39" s="230"/>
      <c r="Q39" s="230"/>
      <c r="R39" s="231"/>
    </row>
    <row r="40" spans="2:18" ht="15.65" customHeight="1" x14ac:dyDescent="0.35">
      <c r="B40" s="192">
        <v>44896</v>
      </c>
      <c r="C40" s="193"/>
      <c r="D40" s="180">
        <f>Sheet2!B14</f>
        <v>4000</v>
      </c>
      <c r="E40" s="181"/>
      <c r="M40" s="232" t="s">
        <v>120</v>
      </c>
      <c r="N40" s="233"/>
      <c r="O40" s="233"/>
      <c r="P40" s="233"/>
      <c r="Q40" s="233"/>
      <c r="R40" s="234"/>
    </row>
    <row r="41" spans="2:18" ht="15" thickBot="1" x14ac:dyDescent="0.4">
      <c r="B41" s="188" t="s">
        <v>121</v>
      </c>
      <c r="C41" s="189"/>
      <c r="D41" s="172">
        <f>SUM(D29:E40)</f>
        <v>9650</v>
      </c>
      <c r="E41" s="173"/>
      <c r="M41" s="235"/>
      <c r="N41" s="236"/>
      <c r="O41" s="236"/>
      <c r="P41" s="236"/>
      <c r="Q41" s="236"/>
      <c r="R41" s="237"/>
    </row>
  </sheetData>
  <mergeCells count="79">
    <mergeCell ref="M39:R39"/>
    <mergeCell ref="M40:R41"/>
    <mergeCell ref="M33:R33"/>
    <mergeCell ref="M34:R34"/>
    <mergeCell ref="P12:R13"/>
    <mergeCell ref="M14:O15"/>
    <mergeCell ref="M23:R25"/>
    <mergeCell ref="M35:R36"/>
    <mergeCell ref="M38:R38"/>
    <mergeCell ref="M32:R32"/>
    <mergeCell ref="M30:R31"/>
    <mergeCell ref="M28:R28"/>
    <mergeCell ref="M29:R29"/>
    <mergeCell ref="M18:R20"/>
    <mergeCell ref="M22:R22"/>
    <mergeCell ref="M11:R11"/>
    <mergeCell ref="M17:R17"/>
    <mergeCell ref="H14:I14"/>
    <mergeCell ref="H12:K13"/>
    <mergeCell ref="J14:K14"/>
    <mergeCell ref="M12:O13"/>
    <mergeCell ref="H15:I15"/>
    <mergeCell ref="J15:K15"/>
    <mergeCell ref="H17:K17"/>
    <mergeCell ref="P14:R15"/>
    <mergeCell ref="B15:C15"/>
    <mergeCell ref="D15:E15"/>
    <mergeCell ref="F15:G15"/>
    <mergeCell ref="H23:K25"/>
    <mergeCell ref="B22:D22"/>
    <mergeCell ref="B21:D21"/>
    <mergeCell ref="E21:G21"/>
    <mergeCell ref="H21:K21"/>
    <mergeCell ref="H22:K22"/>
    <mergeCell ref="E22:G22"/>
    <mergeCell ref="B17:D17"/>
    <mergeCell ref="E17:G17"/>
    <mergeCell ref="B18:D19"/>
    <mergeCell ref="E18:G19"/>
    <mergeCell ref="H18:K19"/>
    <mergeCell ref="I7:K7"/>
    <mergeCell ref="B2:D4"/>
    <mergeCell ref="B11:K11"/>
    <mergeCell ref="B12:G13"/>
    <mergeCell ref="B14:C14"/>
    <mergeCell ref="D14:E14"/>
    <mergeCell ref="F14:G14"/>
    <mergeCell ref="B39:C39"/>
    <mergeCell ref="B40:C40"/>
    <mergeCell ref="D39:E39"/>
    <mergeCell ref="D40:E40"/>
    <mergeCell ref="E23:G25"/>
    <mergeCell ref="B23:D25"/>
    <mergeCell ref="B34:C34"/>
    <mergeCell ref="B35:C35"/>
    <mergeCell ref="B36:C36"/>
    <mergeCell ref="B37:C37"/>
    <mergeCell ref="B38:C38"/>
    <mergeCell ref="B29:C29"/>
    <mergeCell ref="B30:C30"/>
    <mergeCell ref="B31:C31"/>
    <mergeCell ref="B32:C32"/>
    <mergeCell ref="B33:C33"/>
    <mergeCell ref="D41:E41"/>
    <mergeCell ref="G27:H31"/>
    <mergeCell ref="D34:E34"/>
    <mergeCell ref="D35:E35"/>
    <mergeCell ref="D36:E36"/>
    <mergeCell ref="D37:E37"/>
    <mergeCell ref="D38:E38"/>
    <mergeCell ref="D29:E29"/>
    <mergeCell ref="D30:E30"/>
    <mergeCell ref="D31:E31"/>
    <mergeCell ref="D32:E32"/>
    <mergeCell ref="D33:E33"/>
    <mergeCell ref="B27:E27"/>
    <mergeCell ref="B28:C28"/>
    <mergeCell ref="D28:E28"/>
    <mergeCell ref="B41:C41"/>
  </mergeCells>
  <pageMargins left="0.7" right="0.7" top="0.75" bottom="0.75" header="0.3" footer="0.3"/>
  <pageSetup paperSize="9" scale="4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F3B8C-785F-46F8-9390-04171C4F22FF}">
  <sheetPr codeName="Sheet7">
    <tabColor theme="8" tint="0.59999389629810485"/>
  </sheetPr>
  <dimension ref="A1:G76"/>
  <sheetViews>
    <sheetView zoomScale="110" zoomScaleNormal="110" workbookViewId="0">
      <selection activeCell="H22" sqref="H22"/>
    </sheetView>
  </sheetViews>
  <sheetFormatPr defaultColWidth="9.1796875" defaultRowHeight="14.5" x14ac:dyDescent="0.35"/>
  <cols>
    <col min="1" max="1" width="48.453125" style="49" customWidth="1"/>
    <col min="2" max="2" width="12.453125" style="49" customWidth="1"/>
    <col min="3" max="3" width="13.453125" style="49" customWidth="1"/>
    <col min="4" max="4" width="12.453125" style="49" customWidth="1"/>
    <col min="5" max="5" width="14.453125" style="49" customWidth="1"/>
    <col min="6" max="6" width="23.453125" style="49" customWidth="1"/>
    <col min="7" max="16384" width="9.1796875" style="49"/>
  </cols>
  <sheetData>
    <row r="1" spans="1:7" x14ac:dyDescent="0.35">
      <c r="A1" s="269" t="s">
        <v>122</v>
      </c>
      <c r="B1" s="269"/>
      <c r="C1" s="269"/>
    </row>
    <row r="2" spans="1:7" x14ac:dyDescent="0.35">
      <c r="A2" s="269"/>
      <c r="B2" s="269"/>
      <c r="C2" s="269"/>
      <c r="E2" s="65" t="s">
        <v>2</v>
      </c>
    </row>
    <row r="3" spans="1:7" x14ac:dyDescent="0.35">
      <c r="A3" s="269"/>
      <c r="B3" s="269"/>
      <c r="C3" s="269"/>
      <c r="F3" s="110"/>
    </row>
    <row r="4" spans="1:7" x14ac:dyDescent="0.35">
      <c r="A4" s="72" t="s">
        <v>48</v>
      </c>
      <c r="B4" s="72" t="s">
        <v>123</v>
      </c>
      <c r="C4" s="72" t="s">
        <v>49</v>
      </c>
      <c r="D4" s="72" t="s">
        <v>124</v>
      </c>
      <c r="E4" s="73" t="s">
        <v>125</v>
      </c>
      <c r="F4" s="109" t="s">
        <v>126</v>
      </c>
    </row>
    <row r="5" spans="1:7" x14ac:dyDescent="0.35">
      <c r="A5" s="66" t="e" vm="11">
        <v>#VALUE!</v>
      </c>
      <c r="B5" s="66" t="s">
        <v>127</v>
      </c>
      <c r="C5" s="66">
        <v>10</v>
      </c>
      <c r="D5" s="67">
        <v>326</v>
      </c>
      <c r="E5" s="68" t="str" cm="1">
        <f t="array" ref="E5">_FV(Table5[[#This Row],[Stock]],"Currency")</f>
        <v>USD</v>
      </c>
      <c r="F5" s="69">
        <f t="shared" ref="F5:F9" si="0">IF(C5*D5="0.00","",C5*D5)</f>
        <v>3260</v>
      </c>
    </row>
    <row r="6" spans="1:7" x14ac:dyDescent="0.35">
      <c r="A6" s="66" t="e" vm="11">
        <v>#VALUE!</v>
      </c>
      <c r="B6" s="66" t="s">
        <v>127</v>
      </c>
      <c r="C6" s="66">
        <v>2</v>
      </c>
      <c r="D6" s="67">
        <v>326</v>
      </c>
      <c r="E6" s="68" t="s">
        <v>128</v>
      </c>
      <c r="F6" s="69">
        <f t="shared" si="0"/>
        <v>652</v>
      </c>
      <c r="G6" s="70"/>
    </row>
    <row r="7" spans="1:7" x14ac:dyDescent="0.35">
      <c r="A7" s="66" t="e" vm="4">
        <v>#VALUE!</v>
      </c>
      <c r="B7" s="66" t="s">
        <v>127</v>
      </c>
      <c r="C7" s="66">
        <v>1</v>
      </c>
      <c r="D7" s="67">
        <v>2100</v>
      </c>
      <c r="E7" s="68" t="s">
        <v>128</v>
      </c>
      <c r="F7" s="69">
        <f t="shared" si="0"/>
        <v>2100</v>
      </c>
    </row>
    <row r="8" spans="1:7" x14ac:dyDescent="0.35">
      <c r="A8" s="66" t="e" vm="2">
        <v>#VALUE!</v>
      </c>
      <c r="B8" s="66" t="s">
        <v>127</v>
      </c>
      <c r="C8" s="66">
        <v>2</v>
      </c>
      <c r="D8" s="67">
        <v>100</v>
      </c>
      <c r="E8" s="68" t="s">
        <v>128</v>
      </c>
      <c r="F8" s="69">
        <f t="shared" si="0"/>
        <v>200</v>
      </c>
    </row>
    <row r="9" spans="1:7" x14ac:dyDescent="0.35">
      <c r="A9" s="66" t="e" vm="9">
        <v>#VALUE!</v>
      </c>
      <c r="B9" s="66" t="s">
        <v>127</v>
      </c>
      <c r="C9" s="66">
        <v>25</v>
      </c>
      <c r="D9" s="67">
        <v>250</v>
      </c>
      <c r="E9" s="68" t="s">
        <v>128</v>
      </c>
      <c r="F9" s="69">
        <f t="shared" si="0"/>
        <v>6250</v>
      </c>
    </row>
    <row r="10" spans="1:7" x14ac:dyDescent="0.35">
      <c r="A10" s="66" t="e" vm="11">
        <v>#VALUE!</v>
      </c>
      <c r="B10" s="66" t="s">
        <v>129</v>
      </c>
      <c r="C10" s="66">
        <v>-5</v>
      </c>
      <c r="D10" s="67">
        <v>250</v>
      </c>
      <c r="E10" s="68" t="s">
        <v>128</v>
      </c>
      <c r="F10" s="69">
        <f t="shared" ref="F10" si="1">IF(C10*D10="0.00","",C10*D10)</f>
        <v>-1250</v>
      </c>
    </row>
    <row r="11" spans="1:7" x14ac:dyDescent="0.35">
      <c r="A11" s="66" t="e" vm="5">
        <v>#VALUE!</v>
      </c>
      <c r="B11" s="66" t="s">
        <v>130</v>
      </c>
      <c r="C11" s="66">
        <v>15</v>
      </c>
      <c r="D11" s="67">
        <v>100</v>
      </c>
      <c r="E11" s="68" t="s">
        <v>131</v>
      </c>
      <c r="F11" s="69">
        <f t="shared" ref="F11:F16" si="2">IF(C11*D11="0.00","",C11*D11)</f>
        <v>1500</v>
      </c>
    </row>
    <row r="12" spans="1:7" x14ac:dyDescent="0.35">
      <c r="A12" s="66" t="e" vm="6">
        <v>#VALUE!</v>
      </c>
      <c r="B12" s="66" t="s">
        <v>127</v>
      </c>
      <c r="C12" s="66">
        <v>15</v>
      </c>
      <c r="D12" s="67">
        <v>100</v>
      </c>
      <c r="E12" s="68" t="s">
        <v>131</v>
      </c>
      <c r="F12" s="69">
        <f t="shared" si="2"/>
        <v>1500</v>
      </c>
    </row>
    <row r="13" spans="1:7" x14ac:dyDescent="0.35">
      <c r="A13" s="71" t="e" vm="12">
        <v>#VALUE!</v>
      </c>
      <c r="B13" s="66" t="s">
        <v>127</v>
      </c>
      <c r="C13" s="66">
        <v>15</v>
      </c>
      <c r="D13" s="67">
        <v>100</v>
      </c>
      <c r="E13" s="68" t="s">
        <v>131</v>
      </c>
      <c r="F13" s="69">
        <f t="shared" si="2"/>
        <v>1500</v>
      </c>
    </row>
    <row r="14" spans="1:7" x14ac:dyDescent="0.35">
      <c r="A14" s="66" t="e" vm="7">
        <v>#VALUE!</v>
      </c>
      <c r="B14" s="66" t="s">
        <v>127</v>
      </c>
      <c r="C14" s="66">
        <v>15</v>
      </c>
      <c r="D14" s="67">
        <v>100</v>
      </c>
      <c r="E14" s="68" t="s">
        <v>131</v>
      </c>
      <c r="F14" s="69">
        <f t="shared" si="2"/>
        <v>1500</v>
      </c>
    </row>
    <row r="15" spans="1:7" x14ac:dyDescent="0.35">
      <c r="A15" s="66" t="e" vm="10">
        <v>#VALUE!</v>
      </c>
      <c r="B15" s="66" t="s">
        <v>127</v>
      </c>
      <c r="C15" s="66">
        <v>15</v>
      </c>
      <c r="D15" s="67">
        <v>100</v>
      </c>
      <c r="E15" s="68" t="s">
        <v>131</v>
      </c>
      <c r="F15" s="69">
        <f t="shared" si="2"/>
        <v>1500</v>
      </c>
    </row>
    <row r="16" spans="1:7" x14ac:dyDescent="0.35">
      <c r="A16" s="66" t="e" vm="3">
        <v>#VALUE!</v>
      </c>
      <c r="B16" s="66" t="s">
        <v>127</v>
      </c>
      <c r="C16" s="66">
        <v>15</v>
      </c>
      <c r="D16" s="67">
        <v>100</v>
      </c>
      <c r="E16" s="68" t="s">
        <v>131</v>
      </c>
      <c r="F16" s="69">
        <f t="shared" si="2"/>
        <v>1500</v>
      </c>
    </row>
    <row r="17" spans="1:6" x14ac:dyDescent="0.35">
      <c r="A17" s="66" t="e" vm="8">
        <v>#VALUE!</v>
      </c>
      <c r="B17" s="66" t="s">
        <v>127</v>
      </c>
      <c r="C17" s="66">
        <v>15</v>
      </c>
      <c r="D17" s="67">
        <v>100</v>
      </c>
      <c r="E17" s="68" t="s">
        <v>131</v>
      </c>
      <c r="F17" s="69">
        <f t="shared" ref="F17" si="3">IF(C17*D17="0.00","",C17*D17)</f>
        <v>1500</v>
      </c>
    </row>
    <row r="18" spans="1:6" x14ac:dyDescent="0.35">
      <c r="A18" s="66"/>
      <c r="B18" s="66"/>
      <c r="C18" s="66"/>
      <c r="D18" s="67"/>
      <c r="E18" s="68"/>
      <c r="F18" s="69"/>
    </row>
    <row r="19" spans="1:6" x14ac:dyDescent="0.35">
      <c r="A19" s="66" t="s">
        <v>54</v>
      </c>
      <c r="B19" s="66"/>
      <c r="C19" s="66"/>
      <c r="D19" s="67"/>
      <c r="E19" s="68"/>
      <c r="F19" s="69"/>
    </row>
    <row r="20" spans="1:6" x14ac:dyDescent="0.35">
      <c r="A20" s="66"/>
      <c r="B20" s="66"/>
      <c r="C20" s="66"/>
      <c r="D20" s="67"/>
      <c r="E20" s="68"/>
      <c r="F20" s="69"/>
    </row>
    <row r="21" spans="1:6" x14ac:dyDescent="0.35">
      <c r="A21" s="66"/>
      <c r="B21" s="66"/>
      <c r="C21" s="66"/>
      <c r="D21" s="67"/>
      <c r="E21" s="68"/>
      <c r="F21" s="69"/>
    </row>
    <row r="22" spans="1:6" x14ac:dyDescent="0.35">
      <c r="A22" s="66"/>
      <c r="B22" s="66"/>
      <c r="C22" s="66"/>
      <c r="D22" s="67"/>
      <c r="E22" s="68"/>
      <c r="F22" s="69"/>
    </row>
    <row r="23" spans="1:6" x14ac:dyDescent="0.35">
      <c r="A23" s="66"/>
      <c r="B23" s="66"/>
      <c r="C23" s="66"/>
      <c r="D23" s="67"/>
      <c r="E23" s="68"/>
      <c r="F23" s="69"/>
    </row>
    <row r="24" spans="1:6" x14ac:dyDescent="0.35">
      <c r="A24" s="66"/>
      <c r="B24" s="66"/>
      <c r="C24" s="66"/>
      <c r="D24" s="67"/>
      <c r="E24" s="68"/>
      <c r="F24" s="69"/>
    </row>
    <row r="25" spans="1:6" x14ac:dyDescent="0.35">
      <c r="A25" s="66"/>
      <c r="B25" s="66"/>
      <c r="C25" s="66"/>
      <c r="D25" s="67"/>
      <c r="E25" s="68"/>
      <c r="F25" s="69"/>
    </row>
    <row r="26" spans="1:6" x14ac:dyDescent="0.35">
      <c r="A26" s="66"/>
      <c r="B26" s="66"/>
      <c r="C26" s="66"/>
      <c r="D26" s="67"/>
      <c r="E26" s="68"/>
      <c r="F26" s="69"/>
    </row>
    <row r="27" spans="1:6" x14ac:dyDescent="0.35">
      <c r="A27" s="66"/>
      <c r="B27" s="66"/>
      <c r="C27" s="66"/>
      <c r="D27" s="67"/>
      <c r="E27" s="68"/>
      <c r="F27" s="69"/>
    </row>
    <row r="28" spans="1:6" x14ac:dyDescent="0.35">
      <c r="A28" s="66"/>
      <c r="B28" s="66"/>
      <c r="C28" s="66"/>
      <c r="D28" s="67"/>
      <c r="E28" s="68"/>
      <c r="F28" s="69"/>
    </row>
    <row r="29" spans="1:6" x14ac:dyDescent="0.35">
      <c r="A29" s="66"/>
      <c r="B29" s="66"/>
      <c r="C29" s="66"/>
      <c r="D29" s="67"/>
      <c r="E29" s="68"/>
      <c r="F29" s="69"/>
    </row>
    <row r="30" spans="1:6" x14ac:dyDescent="0.35">
      <c r="A30" s="66"/>
      <c r="B30" s="66"/>
      <c r="C30" s="66"/>
      <c r="D30" s="67"/>
      <c r="E30" s="68"/>
      <c r="F30" s="69"/>
    </row>
    <row r="31" spans="1:6" x14ac:dyDescent="0.35">
      <c r="A31" s="66"/>
      <c r="B31" s="66"/>
      <c r="C31" s="66"/>
      <c r="D31" s="67"/>
      <c r="E31" s="68"/>
      <c r="F31" s="69"/>
    </row>
    <row r="32" spans="1:6" x14ac:dyDescent="0.35">
      <c r="A32" s="66"/>
      <c r="B32" s="66"/>
      <c r="C32" s="66"/>
      <c r="D32" s="67"/>
      <c r="E32" s="68"/>
      <c r="F32" s="69"/>
    </row>
    <row r="33" spans="1:6" x14ac:dyDescent="0.35">
      <c r="A33" s="66"/>
      <c r="B33" s="66"/>
      <c r="C33" s="66"/>
      <c r="D33" s="67"/>
      <c r="E33" s="68"/>
      <c r="F33" s="69"/>
    </row>
    <row r="34" spans="1:6" x14ac:dyDescent="0.35">
      <c r="A34" s="66"/>
      <c r="B34" s="66"/>
      <c r="C34" s="66"/>
      <c r="D34" s="67"/>
      <c r="E34" s="68"/>
      <c r="F34" s="69"/>
    </row>
    <row r="35" spans="1:6" x14ac:dyDescent="0.35">
      <c r="A35" s="66"/>
      <c r="B35" s="66"/>
      <c r="C35" s="66"/>
      <c r="D35" s="67"/>
      <c r="E35" s="68"/>
      <c r="F35" s="69"/>
    </row>
    <row r="36" spans="1:6" x14ac:dyDescent="0.35">
      <c r="A36" s="66"/>
      <c r="B36" s="66"/>
      <c r="C36" s="66"/>
      <c r="D36" s="67"/>
      <c r="E36" s="68"/>
      <c r="F36" s="69"/>
    </row>
    <row r="37" spans="1:6" x14ac:dyDescent="0.35">
      <c r="A37" s="66"/>
      <c r="B37" s="66"/>
      <c r="C37" s="66"/>
      <c r="D37" s="67"/>
      <c r="E37" s="68"/>
      <c r="F37" s="69"/>
    </row>
    <row r="38" spans="1:6" x14ac:dyDescent="0.35">
      <c r="A38" s="66"/>
      <c r="B38" s="66"/>
      <c r="C38" s="66"/>
      <c r="D38" s="67"/>
      <c r="E38" s="68"/>
      <c r="F38" s="69"/>
    </row>
    <row r="39" spans="1:6" x14ac:dyDescent="0.35">
      <c r="A39" s="66"/>
      <c r="B39" s="66"/>
      <c r="C39" s="66"/>
      <c r="D39" s="67"/>
      <c r="E39" s="68"/>
      <c r="F39" s="69"/>
    </row>
    <row r="40" spans="1:6" x14ac:dyDescent="0.35">
      <c r="A40" s="66"/>
      <c r="B40" s="66"/>
      <c r="C40" s="66"/>
      <c r="D40" s="67"/>
      <c r="E40" s="68"/>
      <c r="F40" s="69"/>
    </row>
    <row r="41" spans="1:6" x14ac:dyDescent="0.35">
      <c r="A41" s="66"/>
      <c r="B41" s="66"/>
      <c r="C41" s="66"/>
      <c r="D41" s="67"/>
      <c r="E41" s="68"/>
      <c r="F41" s="69"/>
    </row>
    <row r="42" spans="1:6" x14ac:dyDescent="0.35">
      <c r="A42" s="66"/>
      <c r="B42" s="66"/>
      <c r="C42" s="66"/>
      <c r="D42" s="67"/>
      <c r="E42" s="68"/>
      <c r="F42" s="69"/>
    </row>
    <row r="43" spans="1:6" x14ac:dyDescent="0.35">
      <c r="A43" s="66"/>
      <c r="B43" s="66"/>
      <c r="C43" s="66"/>
      <c r="D43" s="67"/>
      <c r="E43" s="68"/>
      <c r="F43" s="69"/>
    </row>
    <row r="44" spans="1:6" x14ac:dyDescent="0.35">
      <c r="A44" s="66"/>
      <c r="B44" s="66"/>
      <c r="C44" s="66"/>
      <c r="D44" s="67"/>
      <c r="E44" s="68"/>
      <c r="F44" s="69"/>
    </row>
    <row r="45" spans="1:6" x14ac:dyDescent="0.35">
      <c r="A45" s="66"/>
      <c r="B45" s="66"/>
      <c r="C45" s="66"/>
      <c r="D45" s="67"/>
      <c r="E45" s="68"/>
      <c r="F45" s="69"/>
    </row>
    <row r="46" spans="1:6" x14ac:dyDescent="0.35">
      <c r="A46" s="66"/>
      <c r="B46" s="66"/>
      <c r="C46" s="66"/>
      <c r="D46" s="67"/>
      <c r="E46" s="68"/>
      <c r="F46" s="69"/>
    </row>
    <row r="47" spans="1:6" x14ac:dyDescent="0.35">
      <c r="A47" s="66"/>
      <c r="B47" s="66"/>
      <c r="C47" s="66"/>
      <c r="D47" s="67"/>
      <c r="E47" s="68"/>
      <c r="F47" s="69"/>
    </row>
    <row r="48" spans="1:6" x14ac:dyDescent="0.35">
      <c r="A48" s="66"/>
      <c r="B48" s="66"/>
      <c r="C48" s="66"/>
      <c r="D48" s="67"/>
      <c r="E48" s="68"/>
      <c r="F48" s="69"/>
    </row>
    <row r="49" spans="1:6" x14ac:dyDescent="0.35">
      <c r="A49" s="66"/>
      <c r="B49" s="66"/>
      <c r="C49" s="66"/>
      <c r="D49" s="67"/>
      <c r="E49" s="68"/>
      <c r="F49" s="69"/>
    </row>
    <row r="50" spans="1:6" x14ac:dyDescent="0.35">
      <c r="A50" s="66"/>
      <c r="B50" s="66"/>
      <c r="C50" s="66"/>
      <c r="D50" s="67"/>
      <c r="E50" s="68"/>
      <c r="F50" s="69"/>
    </row>
    <row r="51" spans="1:6" x14ac:dyDescent="0.35">
      <c r="A51" s="66"/>
      <c r="B51" s="66"/>
      <c r="C51" s="66"/>
      <c r="D51" s="67"/>
      <c r="E51" s="68"/>
      <c r="F51" s="69"/>
    </row>
    <row r="52" spans="1:6" x14ac:dyDescent="0.35">
      <c r="A52" s="66"/>
      <c r="B52" s="66"/>
      <c r="C52" s="66"/>
      <c r="D52" s="67"/>
      <c r="E52" s="68"/>
      <c r="F52" s="69"/>
    </row>
    <row r="53" spans="1:6" x14ac:dyDescent="0.35">
      <c r="A53" s="66"/>
      <c r="B53" s="66"/>
      <c r="C53" s="66"/>
      <c r="D53" s="67"/>
      <c r="E53" s="68"/>
      <c r="F53" s="69"/>
    </row>
    <row r="54" spans="1:6" x14ac:dyDescent="0.35">
      <c r="A54" s="66"/>
      <c r="B54" s="66"/>
      <c r="C54" s="66"/>
      <c r="D54" s="67"/>
      <c r="E54" s="68"/>
      <c r="F54" s="69"/>
    </row>
    <row r="55" spans="1:6" x14ac:dyDescent="0.35">
      <c r="A55" s="66"/>
      <c r="B55" s="66"/>
      <c r="C55" s="66"/>
      <c r="D55" s="67"/>
      <c r="E55" s="68"/>
      <c r="F55" s="69"/>
    </row>
    <row r="56" spans="1:6" x14ac:dyDescent="0.35">
      <c r="A56" s="66"/>
      <c r="B56" s="66"/>
      <c r="C56" s="66"/>
      <c r="D56" s="67"/>
      <c r="E56" s="68"/>
      <c r="F56" s="69"/>
    </row>
    <row r="57" spans="1:6" x14ac:dyDescent="0.35">
      <c r="A57" s="66"/>
      <c r="B57" s="66"/>
      <c r="C57" s="66"/>
      <c r="D57" s="67"/>
      <c r="E57" s="68"/>
      <c r="F57" s="69"/>
    </row>
    <row r="58" spans="1:6" x14ac:dyDescent="0.35">
      <c r="A58" s="66"/>
      <c r="B58" s="66"/>
      <c r="C58" s="66"/>
      <c r="D58" s="67"/>
      <c r="E58" s="68"/>
      <c r="F58" s="69"/>
    </row>
    <row r="59" spans="1:6" x14ac:dyDescent="0.35">
      <c r="A59" s="66"/>
      <c r="B59" s="66"/>
      <c r="C59" s="66"/>
      <c r="D59" s="67"/>
      <c r="E59" s="68"/>
      <c r="F59" s="69"/>
    </row>
    <row r="60" spans="1:6" x14ac:dyDescent="0.35">
      <c r="A60" s="66"/>
      <c r="B60" s="66"/>
      <c r="C60" s="66"/>
      <c r="D60" s="67"/>
      <c r="E60" s="68"/>
      <c r="F60" s="69"/>
    </row>
    <row r="61" spans="1:6" x14ac:dyDescent="0.35">
      <c r="A61" s="66"/>
      <c r="B61" s="66"/>
      <c r="C61" s="66"/>
      <c r="D61" s="67"/>
      <c r="E61" s="68"/>
      <c r="F61" s="69"/>
    </row>
    <row r="62" spans="1:6" x14ac:dyDescent="0.35">
      <c r="A62" s="66"/>
      <c r="B62" s="66"/>
      <c r="C62" s="66"/>
      <c r="D62" s="67"/>
      <c r="E62" s="68"/>
      <c r="F62" s="69"/>
    </row>
    <row r="63" spans="1:6" x14ac:dyDescent="0.35">
      <c r="A63" s="66"/>
      <c r="B63" s="66"/>
      <c r="C63" s="66"/>
      <c r="D63" s="67"/>
      <c r="E63" s="68"/>
      <c r="F63" s="69"/>
    </row>
    <row r="64" spans="1:6" x14ac:dyDescent="0.35">
      <c r="A64" s="66"/>
      <c r="B64" s="66"/>
      <c r="C64" s="66"/>
      <c r="D64" s="67"/>
      <c r="E64" s="68"/>
      <c r="F64" s="69"/>
    </row>
    <row r="65" spans="1:6" x14ac:dyDescent="0.35">
      <c r="A65" s="66"/>
      <c r="B65" s="66"/>
      <c r="C65" s="66"/>
      <c r="D65" s="67"/>
      <c r="E65" s="68"/>
      <c r="F65" s="69"/>
    </row>
    <row r="66" spans="1:6" x14ac:dyDescent="0.35">
      <c r="A66" s="66"/>
      <c r="B66" s="66"/>
      <c r="C66" s="66"/>
      <c r="D66" s="67"/>
      <c r="E66" s="68"/>
      <c r="F66" s="69"/>
    </row>
    <row r="67" spans="1:6" x14ac:dyDescent="0.35">
      <c r="A67" s="66"/>
      <c r="B67" s="66"/>
      <c r="C67" s="66"/>
      <c r="D67" s="67"/>
      <c r="E67" s="68"/>
      <c r="F67" s="69"/>
    </row>
    <row r="68" spans="1:6" x14ac:dyDescent="0.35">
      <c r="A68" s="66"/>
      <c r="B68" s="66"/>
      <c r="C68" s="66"/>
      <c r="D68" s="67"/>
      <c r="E68" s="68"/>
      <c r="F68" s="69"/>
    </row>
    <row r="69" spans="1:6" x14ac:dyDescent="0.35">
      <c r="A69" s="66"/>
      <c r="B69" s="66"/>
      <c r="C69" s="66"/>
      <c r="D69" s="67"/>
      <c r="E69" s="68"/>
      <c r="F69" s="69"/>
    </row>
    <row r="70" spans="1:6" x14ac:dyDescent="0.35">
      <c r="A70" s="66"/>
      <c r="B70" s="66"/>
      <c r="C70" s="66"/>
      <c r="D70" s="67"/>
      <c r="E70" s="68"/>
      <c r="F70" s="69"/>
    </row>
    <row r="71" spans="1:6" x14ac:dyDescent="0.35">
      <c r="A71" s="66"/>
      <c r="B71" s="66"/>
      <c r="C71" s="66"/>
      <c r="D71" s="67"/>
      <c r="E71" s="68"/>
      <c r="F71" s="69"/>
    </row>
    <row r="72" spans="1:6" x14ac:dyDescent="0.35">
      <c r="A72" s="66"/>
      <c r="B72" s="66"/>
      <c r="C72" s="66"/>
      <c r="D72" s="67"/>
      <c r="E72" s="68"/>
      <c r="F72" s="69"/>
    </row>
    <row r="73" spans="1:6" x14ac:dyDescent="0.35">
      <c r="A73" s="66"/>
      <c r="B73" s="66"/>
      <c r="C73" s="66"/>
      <c r="D73" s="67"/>
      <c r="E73" s="68"/>
      <c r="F73" s="69"/>
    </row>
    <row r="74" spans="1:6" x14ac:dyDescent="0.35">
      <c r="A74" s="66"/>
      <c r="B74" s="66"/>
      <c r="C74" s="66"/>
      <c r="D74" s="67"/>
      <c r="E74" s="68"/>
      <c r="F74" s="69"/>
    </row>
    <row r="75" spans="1:6" x14ac:dyDescent="0.35">
      <c r="A75" s="66"/>
      <c r="B75" s="66"/>
      <c r="C75" s="66"/>
      <c r="D75" s="67"/>
      <c r="E75" s="68"/>
      <c r="F75" s="69"/>
    </row>
    <row r="76" spans="1:6" x14ac:dyDescent="0.35">
      <c r="A76" s="66"/>
      <c r="B76" s="66"/>
      <c r="C76" s="66"/>
      <c r="D76" s="67"/>
      <c r="E76" s="68"/>
      <c r="F76" s="69"/>
    </row>
  </sheetData>
  <mergeCells count="1">
    <mergeCell ref="A1:C3"/>
  </mergeCells>
  <dataValidations count="1">
    <dataValidation type="list" allowBlank="1" showInputMessage="1" showErrorMessage="1" sqref="B5:B76" xr:uid="{65172DE5-FD66-4ED6-B1DF-A8A9E21F88A0}">
      <formula1>TransactionType</formula1>
    </dataValidation>
  </dataValidations>
  <pageMargins left="0.7" right="0.7" top="0.75" bottom="0.75" header="0.3" footer="0.3"/>
  <pageSetup paperSize="9" scale="50"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A0BEC-9BD2-4362-9007-B198F883ECAC}">
  <sheetPr codeName="Sheet8"/>
  <dimension ref="A1:F25"/>
  <sheetViews>
    <sheetView workbookViewId="0">
      <selection activeCell="C14" sqref="C14:C25"/>
    </sheetView>
  </sheetViews>
  <sheetFormatPr defaultColWidth="8.81640625" defaultRowHeight="14.5" x14ac:dyDescent="0.35"/>
  <cols>
    <col min="1" max="1" width="9.81640625" customWidth="1"/>
    <col min="2" max="2" width="8.81640625" bestFit="1" customWidth="1"/>
    <col min="3" max="3" width="9.81640625" customWidth="1"/>
    <col min="4" max="5" width="23.453125" customWidth="1"/>
  </cols>
  <sheetData>
    <row r="1" spans="1:6" x14ac:dyDescent="0.35">
      <c r="A1" t="s">
        <v>132</v>
      </c>
      <c r="B1" t="s">
        <v>112</v>
      </c>
      <c r="C1" t="s">
        <v>133</v>
      </c>
      <c r="D1" t="s">
        <v>134</v>
      </c>
      <c r="E1" t="s">
        <v>135</v>
      </c>
      <c r="F1" t="s">
        <v>136</v>
      </c>
    </row>
    <row r="2" spans="1:6" x14ac:dyDescent="0.35">
      <c r="A2" s="96">
        <v>44562</v>
      </c>
      <c r="B2" s="56">
        <f>Calculations!C12</f>
        <v>1000</v>
      </c>
      <c r="F2" s="126">
        <f>AVERAGE($C$14:$C$25)</f>
        <v>5454.3783595946379</v>
      </c>
    </row>
    <row r="3" spans="1:6" x14ac:dyDescent="0.35">
      <c r="A3" s="96">
        <v>44593</v>
      </c>
      <c r="B3" s="56">
        <f>Calculations!C13</f>
        <v>1500</v>
      </c>
      <c r="F3" s="56">
        <f>AVERAGE($C$14:$C$25)</f>
        <v>5454.3783595946379</v>
      </c>
    </row>
    <row r="4" spans="1:6" x14ac:dyDescent="0.35">
      <c r="A4" s="96">
        <v>44621</v>
      </c>
      <c r="B4" s="56">
        <f>Calculations!C14</f>
        <v>2200</v>
      </c>
      <c r="F4" s="56">
        <f t="shared" ref="F4:F25" si="0">AVERAGE($C$14:$C$25)</f>
        <v>5454.3783595946379</v>
      </c>
    </row>
    <row r="5" spans="1:6" x14ac:dyDescent="0.35">
      <c r="A5" s="96">
        <v>44652</v>
      </c>
      <c r="B5" s="56">
        <f>Calculations!C15</f>
        <v>3500</v>
      </c>
      <c r="F5" s="56">
        <f t="shared" si="0"/>
        <v>5454.3783595946379</v>
      </c>
    </row>
    <row r="6" spans="1:6" x14ac:dyDescent="0.35">
      <c r="A6" s="96">
        <v>44682</v>
      </c>
      <c r="B6" s="56">
        <f>Calculations!C16</f>
        <v>2700</v>
      </c>
      <c r="F6" s="56">
        <f t="shared" si="0"/>
        <v>5454.3783595946379</v>
      </c>
    </row>
    <row r="7" spans="1:6" x14ac:dyDescent="0.35">
      <c r="A7" s="96">
        <v>44713</v>
      </c>
      <c r="B7" s="56">
        <f>Calculations!C17</f>
        <v>3600</v>
      </c>
      <c r="F7" s="56">
        <f t="shared" si="0"/>
        <v>5454.3783595946379</v>
      </c>
    </row>
    <row r="8" spans="1:6" x14ac:dyDescent="0.35">
      <c r="A8" s="96">
        <v>44743</v>
      </c>
      <c r="B8" s="56">
        <f>Calculations!C18</f>
        <v>3300</v>
      </c>
      <c r="F8" s="56">
        <f t="shared" si="0"/>
        <v>5454.3783595946379</v>
      </c>
    </row>
    <row r="9" spans="1:6" x14ac:dyDescent="0.35">
      <c r="A9" s="96">
        <v>44774</v>
      </c>
      <c r="B9" s="56">
        <f>Calculations!C19</f>
        <v>2800</v>
      </c>
      <c r="F9" s="56">
        <f t="shared" si="0"/>
        <v>5454.3783595946379</v>
      </c>
    </row>
    <row r="10" spans="1:6" x14ac:dyDescent="0.35">
      <c r="A10" s="96">
        <v>44805</v>
      </c>
      <c r="B10" s="56">
        <f>Calculations!C20</f>
        <v>1500</v>
      </c>
      <c r="F10" s="56">
        <f t="shared" si="0"/>
        <v>5454.3783595946379</v>
      </c>
    </row>
    <row r="11" spans="1:6" x14ac:dyDescent="0.35">
      <c r="A11" s="96">
        <v>44835</v>
      </c>
      <c r="B11" s="56">
        <f>Calculations!C21</f>
        <v>2100</v>
      </c>
      <c r="F11" s="56">
        <f t="shared" si="0"/>
        <v>5454.3783595946379</v>
      </c>
    </row>
    <row r="12" spans="1:6" x14ac:dyDescent="0.35">
      <c r="A12" s="96">
        <v>44866</v>
      </c>
      <c r="B12" s="56">
        <f>Calculations!C22</f>
        <v>2100</v>
      </c>
      <c r="F12" s="56">
        <f t="shared" si="0"/>
        <v>5454.3783595946379</v>
      </c>
    </row>
    <row r="13" spans="1:6" x14ac:dyDescent="0.35">
      <c r="A13" s="96">
        <v>44896</v>
      </c>
      <c r="B13" s="56">
        <f>Calculations!C23</f>
        <v>5000</v>
      </c>
      <c r="C13" s="56">
        <v>3000</v>
      </c>
      <c r="D13" s="56">
        <v>3000</v>
      </c>
      <c r="E13" s="56">
        <v>3000</v>
      </c>
      <c r="F13" s="56">
        <f t="shared" si="0"/>
        <v>5454.3783595946379</v>
      </c>
    </row>
    <row r="14" spans="1:6" x14ac:dyDescent="0.35">
      <c r="A14" s="96">
        <v>44927</v>
      </c>
      <c r="C14" s="56">
        <f>_xlfn.FORECAST.ETS(A14,$B$2:$B$13,$A$2:$A$13,3,1)</f>
        <v>4820.7455016054646</v>
      </c>
      <c r="D14" s="56">
        <f t="shared" ref="D14:D25" si="1">C14-_xlfn.FORECAST.ETS.CONFINT(A14,$B$2:$B$13,$A$2:$A$13,0.95,3,1)</f>
        <v>2700.712539725329</v>
      </c>
      <c r="E14" s="56">
        <f t="shared" ref="E14:E25" si="2">C14+_xlfn.FORECAST.ETS.CONFINT(A14,$B$2:$B$13,$A$2:$A$13,0.95,3,1)</f>
        <v>6940.7784634855998</v>
      </c>
      <c r="F14" s="56">
        <f t="shared" si="0"/>
        <v>5454.3783595946379</v>
      </c>
    </row>
    <row r="15" spans="1:6" x14ac:dyDescent="0.35">
      <c r="A15" s="96">
        <v>44958</v>
      </c>
      <c r="C15" s="56">
        <f t="shared" ref="C15:C25" si="3">_xlfn.FORECAST.ETS(A15,$B$2:$B$13,$A$2:$A$13,3,1)</f>
        <v>4511.2018741814773</v>
      </c>
      <c r="D15" s="56">
        <f t="shared" si="1"/>
        <v>1657.5705681564259</v>
      </c>
      <c r="E15" s="56">
        <f t="shared" si="2"/>
        <v>7364.8331802065286</v>
      </c>
      <c r="F15" s="56">
        <f t="shared" si="0"/>
        <v>5454.3783595946379</v>
      </c>
    </row>
    <row r="16" spans="1:6" x14ac:dyDescent="0.35">
      <c r="A16" s="96">
        <v>44986</v>
      </c>
      <c r="C16" s="56">
        <f t="shared" si="3"/>
        <v>5367.4485819673182</v>
      </c>
      <c r="D16" s="56">
        <f t="shared" si="1"/>
        <v>1932.3376438489408</v>
      </c>
      <c r="E16" s="56">
        <f t="shared" si="2"/>
        <v>8802.5595200856951</v>
      </c>
      <c r="F16" s="56">
        <f t="shared" si="0"/>
        <v>5454.3783595946379</v>
      </c>
    </row>
    <row r="17" spans="1:6" x14ac:dyDescent="0.35">
      <c r="A17" s="96">
        <v>45017</v>
      </c>
      <c r="C17" s="56">
        <f t="shared" si="3"/>
        <v>5190.4653062787211</v>
      </c>
      <c r="D17" s="56">
        <f t="shared" si="1"/>
        <v>1151.588846935646</v>
      </c>
      <c r="E17" s="56">
        <f t="shared" si="2"/>
        <v>9229.3417656217971</v>
      </c>
      <c r="F17" s="56">
        <f t="shared" si="0"/>
        <v>5454.3783595946379</v>
      </c>
    </row>
    <row r="18" spans="1:6" x14ac:dyDescent="0.35">
      <c r="A18" s="96">
        <v>45047</v>
      </c>
      <c r="C18" s="56">
        <f t="shared" si="3"/>
        <v>4880.9216788547328</v>
      </c>
      <c r="D18" s="56">
        <f t="shared" si="1"/>
        <v>410.40349212278579</v>
      </c>
      <c r="E18" s="56">
        <f t="shared" si="2"/>
        <v>9351.4398655866789</v>
      </c>
      <c r="F18" s="56">
        <f t="shared" si="0"/>
        <v>5454.3783595946379</v>
      </c>
    </row>
    <row r="19" spans="1:6" x14ac:dyDescent="0.35">
      <c r="A19" s="96">
        <v>45078</v>
      </c>
      <c r="C19" s="56">
        <f t="shared" si="3"/>
        <v>5737.1683866405747</v>
      </c>
      <c r="D19" s="56">
        <f t="shared" si="1"/>
        <v>872.32786670660607</v>
      </c>
      <c r="E19" s="56">
        <f t="shared" si="2"/>
        <v>10602.008906574543</v>
      </c>
      <c r="F19" s="56">
        <f t="shared" si="0"/>
        <v>5454.3783595946379</v>
      </c>
    </row>
    <row r="20" spans="1:6" x14ac:dyDescent="0.35">
      <c r="A20" s="96">
        <v>45108</v>
      </c>
      <c r="C20" s="56">
        <f t="shared" si="3"/>
        <v>5560.1851109519766</v>
      </c>
      <c r="D20" s="56">
        <f t="shared" si="1"/>
        <v>249.22749438806386</v>
      </c>
      <c r="E20" s="56">
        <f t="shared" si="2"/>
        <v>10871.142727515889</v>
      </c>
      <c r="F20" s="56">
        <f t="shared" si="0"/>
        <v>5454.3783595946379</v>
      </c>
    </row>
    <row r="21" spans="1:6" x14ac:dyDescent="0.35">
      <c r="A21" s="96">
        <v>45139</v>
      </c>
      <c r="C21" s="56">
        <f t="shared" si="3"/>
        <v>5250.6414835279893</v>
      </c>
      <c r="D21" s="56">
        <f t="shared" si="1"/>
        <v>-397.69450537323883</v>
      </c>
      <c r="E21" s="56">
        <f t="shared" si="2"/>
        <v>10898.977472429218</v>
      </c>
      <c r="F21" s="56">
        <f t="shared" si="0"/>
        <v>5454.3783595946379</v>
      </c>
    </row>
    <row r="22" spans="1:6" x14ac:dyDescent="0.35">
      <c r="A22" s="96">
        <v>45170</v>
      </c>
      <c r="C22" s="56">
        <f t="shared" si="3"/>
        <v>6106.8881913138302</v>
      </c>
      <c r="D22" s="56">
        <f t="shared" si="1"/>
        <v>139.53654491667839</v>
      </c>
      <c r="E22" s="56">
        <f t="shared" si="2"/>
        <v>12074.239837710982</v>
      </c>
      <c r="F22" s="56">
        <f t="shared" si="0"/>
        <v>5454.3783595946379</v>
      </c>
    </row>
    <row r="23" spans="1:6" x14ac:dyDescent="0.35">
      <c r="A23" s="96">
        <v>45200</v>
      </c>
      <c r="C23" s="56">
        <f t="shared" si="3"/>
        <v>5929.9049156252331</v>
      </c>
      <c r="D23" s="56">
        <f t="shared" si="1"/>
        <v>-408.55118329294237</v>
      </c>
      <c r="E23" s="56">
        <f t="shared" si="2"/>
        <v>12268.361014543409</v>
      </c>
      <c r="F23" s="56">
        <f t="shared" si="0"/>
        <v>5454.3783595946379</v>
      </c>
    </row>
    <row r="24" spans="1:6" x14ac:dyDescent="0.35">
      <c r="A24" s="96">
        <v>45231</v>
      </c>
      <c r="C24" s="56">
        <f t="shared" si="3"/>
        <v>5620.3612882012449</v>
      </c>
      <c r="D24" s="56">
        <f t="shared" si="1"/>
        <v>-1005.1918277823852</v>
      </c>
      <c r="E24" s="56">
        <f t="shared" si="2"/>
        <v>12245.914404184874</v>
      </c>
      <c r="F24" s="56">
        <f t="shared" si="0"/>
        <v>5454.3783595946379</v>
      </c>
    </row>
    <row r="25" spans="1:6" x14ac:dyDescent="0.35">
      <c r="A25" s="96">
        <v>45261</v>
      </c>
      <c r="C25" s="56">
        <f t="shared" si="3"/>
        <v>6476.6079959870858</v>
      </c>
      <c r="D25" s="56">
        <f t="shared" si="1"/>
        <v>-424.70108450117732</v>
      </c>
      <c r="E25" s="56">
        <f t="shared" si="2"/>
        <v>13377.917076475349</v>
      </c>
      <c r="F25" s="56">
        <f t="shared" si="0"/>
        <v>5454.3783595946379</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C22ED-ED7C-4127-90FE-621C9C878681}">
  <sheetPr codeName="Sheet9"/>
  <dimension ref="A1:E14"/>
  <sheetViews>
    <sheetView workbookViewId="0">
      <selection activeCell="E20" sqref="E20"/>
    </sheetView>
  </sheetViews>
  <sheetFormatPr defaultColWidth="8.81640625" defaultRowHeight="14.5" x14ac:dyDescent="0.35"/>
  <cols>
    <col min="1" max="1" width="10" customWidth="1"/>
    <col min="2" max="2" width="9" bestFit="1" customWidth="1"/>
    <col min="3" max="3" width="9.81640625" customWidth="1"/>
    <col min="4" max="4" width="24" customWidth="1"/>
    <col min="5" max="5" width="24.1796875" customWidth="1"/>
  </cols>
  <sheetData>
    <row r="1" spans="1:5" x14ac:dyDescent="0.35">
      <c r="A1" t="s">
        <v>132</v>
      </c>
      <c r="B1" t="s">
        <v>112</v>
      </c>
      <c r="C1" t="s">
        <v>133</v>
      </c>
      <c r="D1" t="s">
        <v>134</v>
      </c>
      <c r="E1" t="s">
        <v>135</v>
      </c>
    </row>
    <row r="2" spans="1:5" x14ac:dyDescent="0.35">
      <c r="A2" s="96">
        <v>44562</v>
      </c>
      <c r="B2" s="56">
        <v>1400</v>
      </c>
    </row>
    <row r="3" spans="1:5" x14ac:dyDescent="0.35">
      <c r="A3" s="96">
        <v>44593</v>
      </c>
      <c r="B3" s="56">
        <v>2600</v>
      </c>
    </row>
    <row r="4" spans="1:5" x14ac:dyDescent="0.35">
      <c r="A4" s="96">
        <v>44621</v>
      </c>
      <c r="B4" s="56">
        <v>1200</v>
      </c>
    </row>
    <row r="5" spans="1:5" x14ac:dyDescent="0.35">
      <c r="A5" s="96">
        <v>44652</v>
      </c>
      <c r="B5" s="56">
        <v>1050</v>
      </c>
    </row>
    <row r="6" spans="1:5" x14ac:dyDescent="0.35">
      <c r="A6" s="96">
        <v>44682</v>
      </c>
      <c r="B6" s="56">
        <v>750</v>
      </c>
    </row>
    <row r="7" spans="1:5" x14ac:dyDescent="0.35">
      <c r="A7" s="96">
        <v>44713</v>
      </c>
      <c r="B7" s="56">
        <v>700</v>
      </c>
    </row>
    <row r="8" spans="1:5" x14ac:dyDescent="0.35">
      <c r="A8" s="96">
        <v>44743</v>
      </c>
      <c r="B8" s="56">
        <v>1000</v>
      </c>
    </row>
    <row r="9" spans="1:5" x14ac:dyDescent="0.35">
      <c r="A9" s="96">
        <v>44774</v>
      </c>
      <c r="B9" s="56">
        <v>1200</v>
      </c>
    </row>
    <row r="10" spans="1:5" x14ac:dyDescent="0.35">
      <c r="A10" s="96">
        <v>44805</v>
      </c>
      <c r="B10" s="56">
        <v>1350</v>
      </c>
    </row>
    <row r="11" spans="1:5" x14ac:dyDescent="0.35">
      <c r="A11" s="96">
        <v>44835</v>
      </c>
      <c r="B11" s="56">
        <v>1000</v>
      </c>
    </row>
    <row r="12" spans="1:5" x14ac:dyDescent="0.35">
      <c r="A12" s="96">
        <v>44866</v>
      </c>
      <c r="B12" s="56">
        <v>1000</v>
      </c>
    </row>
    <row r="13" spans="1:5" x14ac:dyDescent="0.35">
      <c r="A13" s="96">
        <v>44896</v>
      </c>
      <c r="B13" s="56">
        <v>1000</v>
      </c>
      <c r="C13" s="56">
        <v>1000</v>
      </c>
      <c r="D13" s="56">
        <v>1000</v>
      </c>
      <c r="E13" s="56">
        <v>1000</v>
      </c>
    </row>
    <row r="14" spans="1:5" x14ac:dyDescent="0.35">
      <c r="A14" s="96">
        <v>44927</v>
      </c>
      <c r="C14" s="56">
        <f>_xlfn.FORECAST.ETS(A14,$B$2:$B$13,$A$2:$A$13,1,1)</f>
        <v>695.98948159242832</v>
      </c>
      <c r="D14" s="56">
        <f>C14-_xlfn.FORECAST.ETS.CONFINT(A14,$B$2:$B$13,$A$2:$A$13,0.95,1,1)</f>
        <v>-162.5051840607623</v>
      </c>
      <c r="E14" s="56">
        <f>C14+_xlfn.FORECAST.ETS.CONFINT(A14,$B$2:$B$13,$A$2:$A$13,0.95,1,1)</f>
        <v>1554.4841472456189</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703D-0830-40C0-8F66-D9E53BF63B95}">
  <sheetPr codeName="Sheet11"/>
  <dimension ref="A1:F25"/>
  <sheetViews>
    <sheetView workbookViewId="0">
      <selection activeCell="C9" sqref="C9"/>
    </sheetView>
  </sheetViews>
  <sheetFormatPr defaultColWidth="8.81640625" defaultRowHeight="14.5" x14ac:dyDescent="0.35"/>
  <cols>
    <col min="1" max="1" width="12.453125" customWidth="1"/>
    <col min="3" max="3" width="13.453125" customWidth="1"/>
    <col min="4" max="4" width="18.453125" customWidth="1"/>
    <col min="5" max="5" width="25.1796875" customWidth="1"/>
    <col min="6" max="6" width="20" customWidth="1"/>
    <col min="7" max="8" width="17.453125" customWidth="1"/>
    <col min="9" max="9" width="19.453125" customWidth="1"/>
    <col min="10" max="10" width="29" customWidth="1"/>
    <col min="11" max="11" width="25.453125" customWidth="1"/>
    <col min="12" max="12" width="16" customWidth="1"/>
  </cols>
  <sheetData>
    <row r="1" spans="1:6" x14ac:dyDescent="0.35">
      <c r="A1" t="s">
        <v>132</v>
      </c>
      <c r="B1" t="s">
        <v>112</v>
      </c>
      <c r="C1" t="s">
        <v>133</v>
      </c>
      <c r="D1" t="s">
        <v>134</v>
      </c>
      <c r="E1" t="s">
        <v>135</v>
      </c>
      <c r="F1" t="s">
        <v>137</v>
      </c>
    </row>
    <row r="2" spans="1:6" x14ac:dyDescent="0.35">
      <c r="A2" s="96">
        <v>44562</v>
      </c>
      <c r="B2" s="56">
        <f>Calculations!C31</f>
        <v>500</v>
      </c>
      <c r="F2" s="129">
        <f>AVERAGE($C$14:$C$25)</f>
        <v>705.17151453043914</v>
      </c>
    </row>
    <row r="3" spans="1:6" x14ac:dyDescent="0.35">
      <c r="A3" s="96">
        <v>44593</v>
      </c>
      <c r="B3" s="56">
        <f>Calculations!C32</f>
        <v>2600</v>
      </c>
      <c r="F3" s="56">
        <f>AVERAGE($C$14:$C$25)</f>
        <v>705.17151453043914</v>
      </c>
    </row>
    <row r="4" spans="1:6" x14ac:dyDescent="0.35">
      <c r="A4" s="96">
        <v>44621</v>
      </c>
      <c r="B4" s="56">
        <f>Calculations!C33</f>
        <v>1200</v>
      </c>
      <c r="F4" s="56">
        <f t="shared" ref="F4:F25" si="0">AVERAGE($C$14:$C$25)</f>
        <v>705.17151453043914</v>
      </c>
    </row>
    <row r="5" spans="1:6" x14ac:dyDescent="0.35">
      <c r="A5" s="96">
        <v>44652</v>
      </c>
      <c r="B5" s="56">
        <f>Calculations!C34</f>
        <v>1050</v>
      </c>
      <c r="F5" s="56">
        <f t="shared" si="0"/>
        <v>705.17151453043914</v>
      </c>
    </row>
    <row r="6" spans="1:6" x14ac:dyDescent="0.35">
      <c r="A6" s="96">
        <v>44682</v>
      </c>
      <c r="B6" s="56">
        <f>Calculations!C35</f>
        <v>750</v>
      </c>
      <c r="F6" s="56">
        <f t="shared" si="0"/>
        <v>705.17151453043914</v>
      </c>
    </row>
    <row r="7" spans="1:6" x14ac:dyDescent="0.35">
      <c r="A7" s="96">
        <v>44713</v>
      </c>
      <c r="B7" s="56">
        <v>1000</v>
      </c>
      <c r="F7" s="56">
        <f t="shared" si="0"/>
        <v>705.17151453043914</v>
      </c>
    </row>
    <row r="8" spans="1:6" x14ac:dyDescent="0.35">
      <c r="A8" s="96">
        <v>44743</v>
      </c>
      <c r="B8" s="56">
        <f>Calculations!C37</f>
        <v>1000</v>
      </c>
      <c r="F8" s="56">
        <f t="shared" si="0"/>
        <v>705.17151453043914</v>
      </c>
    </row>
    <row r="9" spans="1:6" x14ac:dyDescent="0.35">
      <c r="A9" s="96">
        <v>44774</v>
      </c>
      <c r="B9" s="56">
        <f>Calculations!C38</f>
        <v>1200</v>
      </c>
      <c r="F9" s="56">
        <f t="shared" si="0"/>
        <v>705.17151453043914</v>
      </c>
    </row>
    <row r="10" spans="1:6" x14ac:dyDescent="0.35">
      <c r="A10" s="96">
        <v>44805</v>
      </c>
      <c r="B10" s="56">
        <f>Calculations!C39</f>
        <v>1350</v>
      </c>
      <c r="F10" s="56">
        <f t="shared" si="0"/>
        <v>705.17151453043914</v>
      </c>
    </row>
    <row r="11" spans="1:6" x14ac:dyDescent="0.35">
      <c r="A11" s="96">
        <v>44835</v>
      </c>
      <c r="B11" s="56">
        <f>Calculations!C40</f>
        <v>1000</v>
      </c>
      <c r="F11" s="56">
        <f t="shared" si="0"/>
        <v>705.17151453043914</v>
      </c>
    </row>
    <row r="12" spans="1:6" x14ac:dyDescent="0.35">
      <c r="A12" s="96">
        <v>44866</v>
      </c>
      <c r="B12" s="56">
        <f>Calculations!C41</f>
        <v>1000</v>
      </c>
      <c r="F12" s="56">
        <f t="shared" si="0"/>
        <v>705.17151453043914</v>
      </c>
    </row>
    <row r="13" spans="1:6" x14ac:dyDescent="0.35">
      <c r="A13" s="96">
        <v>44896</v>
      </c>
      <c r="B13" s="56">
        <f>Calculations!C42</f>
        <v>1000</v>
      </c>
      <c r="C13" s="56">
        <v>3000</v>
      </c>
      <c r="D13" s="56">
        <v>3000</v>
      </c>
      <c r="E13" s="56">
        <v>3000</v>
      </c>
      <c r="F13" s="56">
        <f t="shared" si="0"/>
        <v>705.17151453043914</v>
      </c>
    </row>
    <row r="14" spans="1:6" x14ac:dyDescent="0.35">
      <c r="A14" s="96">
        <v>44927</v>
      </c>
      <c r="C14" s="56">
        <f>_xlfn.FORECAST.ETS(A14,$B$2:$B$13,$A$2:$A$13,3,1)</f>
        <v>483.87454453526902</v>
      </c>
      <c r="D14" s="56">
        <f t="shared" ref="D14:D25" si="1">C14-_xlfn.FORECAST.ETS.CONFINT(A14,$B$2:$B$13,$A$2:$A$13,0.95,3,1)</f>
        <v>-577.84626315968103</v>
      </c>
      <c r="E14" s="56">
        <f t="shared" ref="E14:E25" si="2">C14+_xlfn.FORECAST.ETS.CONFINT(A14,$B$2:$B$13,$A$2:$A$13,0.95,3,1)</f>
        <v>1545.5953522302191</v>
      </c>
      <c r="F14" s="56">
        <f t="shared" si="0"/>
        <v>705.17151453043914</v>
      </c>
    </row>
    <row r="15" spans="1:6" x14ac:dyDescent="0.35">
      <c r="A15" s="96">
        <v>44958</v>
      </c>
      <c r="C15" s="56">
        <f>_xlfn.FORECAST.ETS(A15,$B$2:$B$13,$A$2:$A$13,3,1)</f>
        <v>1309.612426558188</v>
      </c>
      <c r="D15" s="56">
        <f t="shared" si="1"/>
        <v>214.69871960979117</v>
      </c>
      <c r="E15" s="56">
        <f t="shared" si="2"/>
        <v>2404.5261335065848</v>
      </c>
      <c r="F15" s="56">
        <f t="shared" si="0"/>
        <v>705.17151453043914</v>
      </c>
    </row>
    <row r="16" spans="1:6" x14ac:dyDescent="0.35">
      <c r="A16" s="96">
        <v>44986</v>
      </c>
      <c r="C16" s="56">
        <f>_xlfn.FORECAST.ETS(A16,$B$2:$B$13,$A$2:$A$13,3,1)</f>
        <v>796.45863934215447</v>
      </c>
      <c r="D16" s="56">
        <f t="shared" si="1"/>
        <v>-330.92338979732733</v>
      </c>
      <c r="E16" s="56">
        <f t="shared" si="2"/>
        <v>1923.8406684816364</v>
      </c>
      <c r="F16" s="56">
        <f t="shared" si="0"/>
        <v>705.17151453043914</v>
      </c>
    </row>
    <row r="17" spans="1:6" x14ac:dyDescent="0.35">
      <c r="A17" s="96">
        <v>45017</v>
      </c>
      <c r="C17" s="56">
        <f t="shared" ref="C17:C25" si="3">_xlfn.FORECAST.ETS(A17,$B$2:$B$13,$A$2:$A$13,3,1)</f>
        <v>378.44541856987041</v>
      </c>
      <c r="D17" s="56">
        <f t="shared" si="1"/>
        <v>-780.98967693159841</v>
      </c>
      <c r="E17" s="56">
        <f t="shared" si="2"/>
        <v>1537.8805140713393</v>
      </c>
      <c r="F17" s="56">
        <f t="shared" si="0"/>
        <v>705.17151453043914</v>
      </c>
    </row>
    <row r="18" spans="1:6" x14ac:dyDescent="0.35">
      <c r="A18" s="96">
        <v>45047</v>
      </c>
      <c r="C18" s="56">
        <f t="shared" si="3"/>
        <v>1204.1833005927892</v>
      </c>
      <c r="D18" s="56">
        <f t="shared" si="1"/>
        <v>13.557733197924108</v>
      </c>
      <c r="E18" s="56">
        <f t="shared" si="2"/>
        <v>2394.8088679876546</v>
      </c>
      <c r="F18" s="56">
        <f t="shared" si="0"/>
        <v>705.17151453043914</v>
      </c>
    </row>
    <row r="19" spans="1:6" x14ac:dyDescent="0.35">
      <c r="A19" s="96">
        <v>45078</v>
      </c>
      <c r="C19" s="56">
        <f t="shared" si="3"/>
        <v>691.02951337675574</v>
      </c>
      <c r="D19" s="56">
        <f t="shared" si="1"/>
        <v>-530.225893197456</v>
      </c>
      <c r="E19" s="56">
        <f t="shared" si="2"/>
        <v>1912.2849199509674</v>
      </c>
      <c r="F19" s="56">
        <f t="shared" si="0"/>
        <v>705.17151453043914</v>
      </c>
    </row>
    <row r="20" spans="1:6" x14ac:dyDescent="0.35">
      <c r="A20" s="96">
        <v>45108</v>
      </c>
      <c r="C20" s="56">
        <f t="shared" si="3"/>
        <v>273.01629260447169</v>
      </c>
      <c r="D20" s="56">
        <f t="shared" si="1"/>
        <v>-978.58232857673272</v>
      </c>
      <c r="E20" s="56">
        <f t="shared" si="2"/>
        <v>1524.614913785676</v>
      </c>
      <c r="F20" s="56">
        <f t="shared" si="0"/>
        <v>705.17151453043914</v>
      </c>
    </row>
    <row r="21" spans="1:6" x14ac:dyDescent="0.35">
      <c r="A21" s="96">
        <v>45139</v>
      </c>
      <c r="C21" s="56">
        <f t="shared" si="3"/>
        <v>1098.7541746273905</v>
      </c>
      <c r="D21" s="56">
        <f t="shared" si="1"/>
        <v>-182.46924421830067</v>
      </c>
      <c r="E21" s="56">
        <f t="shared" si="2"/>
        <v>2379.9775934730815</v>
      </c>
      <c r="F21" s="56">
        <f t="shared" si="0"/>
        <v>705.17151453043914</v>
      </c>
    </row>
    <row r="22" spans="1:6" x14ac:dyDescent="0.35">
      <c r="A22" s="96">
        <v>45170</v>
      </c>
      <c r="C22" s="56">
        <f t="shared" si="3"/>
        <v>585.60038741135702</v>
      </c>
      <c r="D22" s="56">
        <f t="shared" si="1"/>
        <v>-724.80053530641442</v>
      </c>
      <c r="E22" s="56">
        <f t="shared" si="2"/>
        <v>1896.0013101291283</v>
      </c>
      <c r="F22" s="56">
        <f t="shared" si="0"/>
        <v>705.17151453043914</v>
      </c>
    </row>
    <row r="23" spans="1:6" x14ac:dyDescent="0.35">
      <c r="A23" s="96">
        <v>45200</v>
      </c>
      <c r="C23" s="56">
        <f t="shared" si="3"/>
        <v>167.58716663907296</v>
      </c>
      <c r="D23" s="56">
        <f t="shared" si="1"/>
        <v>-1171.7933053094184</v>
      </c>
      <c r="E23" s="56">
        <f t="shared" si="2"/>
        <v>1506.9676385875646</v>
      </c>
      <c r="F23" s="56">
        <f t="shared" si="0"/>
        <v>705.17151453043914</v>
      </c>
    </row>
    <row r="24" spans="1:6" x14ac:dyDescent="0.35">
      <c r="A24" s="96">
        <v>45231</v>
      </c>
      <c r="C24" s="56">
        <f t="shared" si="3"/>
        <v>993.32504866199179</v>
      </c>
      <c r="D24" s="56">
        <f t="shared" si="1"/>
        <v>-374.42109701502682</v>
      </c>
      <c r="E24" s="56">
        <f t="shared" si="2"/>
        <v>2361.0711943390106</v>
      </c>
      <c r="F24" s="56">
        <f t="shared" si="0"/>
        <v>705.17151453043914</v>
      </c>
    </row>
    <row r="25" spans="1:6" x14ac:dyDescent="0.35">
      <c r="A25" s="96">
        <v>45261</v>
      </c>
      <c r="C25" s="56">
        <f t="shared" si="3"/>
        <v>480.17126144595841</v>
      </c>
      <c r="D25" s="56">
        <f t="shared" si="1"/>
        <v>-915.57532791156314</v>
      </c>
      <c r="E25" s="56">
        <f t="shared" si="2"/>
        <v>1875.91785080348</v>
      </c>
      <c r="F25" s="56">
        <f t="shared" si="0"/>
        <v>705.17151453043914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E4A86-9FBE-40C6-8905-A16C59EAA899}">
  <sheetPr codeName="Sheet12"/>
  <dimension ref="A1:D31"/>
  <sheetViews>
    <sheetView workbookViewId="0">
      <selection activeCell="B3" sqref="B3"/>
    </sheetView>
  </sheetViews>
  <sheetFormatPr defaultColWidth="8.81640625" defaultRowHeight="14.5" x14ac:dyDescent="0.35"/>
  <cols>
    <col min="1" max="1" width="19.453125" customWidth="1"/>
    <col min="2" max="2" width="14.1796875" customWidth="1"/>
    <col min="4" max="4" width="10.453125" bestFit="1" customWidth="1"/>
  </cols>
  <sheetData>
    <row r="1" spans="1:2" x14ac:dyDescent="0.35">
      <c r="A1" t="s">
        <v>109</v>
      </c>
    </row>
    <row r="2" spans="1:2" x14ac:dyDescent="0.35">
      <c r="A2" t="s">
        <v>111</v>
      </c>
      <c r="B2" t="s">
        <v>112</v>
      </c>
    </row>
    <row r="3" spans="1:2" x14ac:dyDescent="0.35">
      <c r="A3" s="127">
        <v>44562</v>
      </c>
      <c r="B3">
        <f>Calculations!C12-Calculations!C31</f>
        <v>500</v>
      </c>
    </row>
    <row r="4" spans="1:2" x14ac:dyDescent="0.35">
      <c r="A4" s="128">
        <v>44593</v>
      </c>
      <c r="B4">
        <f>Calculations!C13-Calculations!C32</f>
        <v>-1100</v>
      </c>
    </row>
    <row r="5" spans="1:2" x14ac:dyDescent="0.35">
      <c r="A5" s="127">
        <v>44621</v>
      </c>
      <c r="B5">
        <f>Calculations!C14-Calculations!C33</f>
        <v>1000</v>
      </c>
    </row>
    <row r="6" spans="1:2" x14ac:dyDescent="0.35">
      <c r="A6" s="128">
        <v>44652</v>
      </c>
      <c r="B6">
        <f>Calculations!C15-Calculations!C34</f>
        <v>2450</v>
      </c>
    </row>
    <row r="7" spans="1:2" x14ac:dyDescent="0.35">
      <c r="A7" s="127">
        <v>44682</v>
      </c>
      <c r="B7">
        <f>Calculations!C16-Calculations!C35</f>
        <v>1950</v>
      </c>
    </row>
    <row r="8" spans="1:2" x14ac:dyDescent="0.35">
      <c r="A8" s="128">
        <v>44713</v>
      </c>
      <c r="B8">
        <f>Calculations!C17-Calculations!C36</f>
        <v>-5400</v>
      </c>
    </row>
    <row r="9" spans="1:2" x14ac:dyDescent="0.35">
      <c r="A9" s="127">
        <v>44743</v>
      </c>
      <c r="B9">
        <f>Calculations!C18-Calculations!C37</f>
        <v>2300</v>
      </c>
    </row>
    <row r="10" spans="1:2" x14ac:dyDescent="0.35">
      <c r="A10" s="128">
        <v>44774</v>
      </c>
      <c r="B10">
        <f>Calculations!C19-Calculations!C38</f>
        <v>1600</v>
      </c>
    </row>
    <row r="11" spans="1:2" x14ac:dyDescent="0.35">
      <c r="A11" s="127">
        <v>44805</v>
      </c>
      <c r="B11">
        <f>Calculations!C20-Calculations!C39</f>
        <v>150</v>
      </c>
    </row>
    <row r="12" spans="1:2" x14ac:dyDescent="0.35">
      <c r="A12" s="128">
        <v>44835</v>
      </c>
      <c r="B12">
        <f>Calculations!C21-Calculations!C40</f>
        <v>1100</v>
      </c>
    </row>
    <row r="13" spans="1:2" x14ac:dyDescent="0.35">
      <c r="A13" s="127">
        <v>44866</v>
      </c>
      <c r="B13">
        <f>Calculations!C22-Calculations!C41</f>
        <v>1100</v>
      </c>
    </row>
    <row r="14" spans="1:2" ht="14.25" customHeight="1" x14ac:dyDescent="0.35">
      <c r="A14" s="128">
        <v>44896</v>
      </c>
      <c r="B14">
        <f>Calculations!C23-Calculations!C42</f>
        <v>4000</v>
      </c>
    </row>
    <row r="15" spans="1:2" x14ac:dyDescent="0.35">
      <c r="A15" t="s">
        <v>121</v>
      </c>
      <c r="B15">
        <f>SUM(B3:B14)</f>
        <v>9650</v>
      </c>
    </row>
    <row r="17" spans="1:4" x14ac:dyDescent="0.35">
      <c r="A17" t="s">
        <v>138</v>
      </c>
      <c r="D17" t="s">
        <v>139</v>
      </c>
    </row>
    <row r="18" spans="1:4" x14ac:dyDescent="0.35">
      <c r="A18" t="str">
        <f>A2</f>
        <v>Dates</v>
      </c>
      <c r="B18" t="s">
        <v>112</v>
      </c>
    </row>
    <row r="19" spans="1:4" x14ac:dyDescent="0.35">
      <c r="A19" s="127">
        <v>44927</v>
      </c>
      <c r="B19" s="56">
        <f>_xlfn.FORECAST.ETS(A19,B3:B14,A3:A14,3,1)</f>
        <v>4380.5827380762521</v>
      </c>
      <c r="C19" s="56"/>
      <c r="D19" s="126">
        <f>AVERAGE($B$19:$B$30)</f>
        <v>5918.9021315718128</v>
      </c>
    </row>
    <row r="20" spans="1:4" x14ac:dyDescent="0.35">
      <c r="A20" s="128">
        <v>44958</v>
      </c>
      <c r="B20" s="56">
        <f t="shared" ref="B20:B30" si="0">_xlfn.FORECAST.ETS(A20,B4:B15,A4:A15,3,1)</f>
        <v>3174.6224771366792</v>
      </c>
      <c r="C20" s="56"/>
      <c r="D20" s="126">
        <f t="shared" ref="D20:D30" si="1">AVERAGE($B$19:$B$30)</f>
        <v>5918.9021315718128</v>
      </c>
    </row>
    <row r="21" spans="1:4" x14ac:dyDescent="0.35">
      <c r="A21" s="127">
        <v>44986</v>
      </c>
      <c r="B21" s="56">
        <f t="shared" si="0"/>
        <v>2759.4945878775625</v>
      </c>
      <c r="C21" s="56"/>
      <c r="D21" s="126">
        <f t="shared" si="1"/>
        <v>5918.9021315718128</v>
      </c>
    </row>
    <row r="22" spans="1:4" x14ac:dyDescent="0.35">
      <c r="A22" s="128">
        <v>45017</v>
      </c>
      <c r="B22" s="56">
        <f t="shared" si="0"/>
        <v>5072.9663533428111</v>
      </c>
      <c r="C22" s="56"/>
      <c r="D22" s="126">
        <f t="shared" si="1"/>
        <v>5918.9021315718128</v>
      </c>
    </row>
    <row r="23" spans="1:4" x14ac:dyDescent="0.35">
      <c r="A23" s="127">
        <v>45047</v>
      </c>
      <c r="B23" s="56">
        <f t="shared" si="0"/>
        <v>6145.5292205423821</v>
      </c>
      <c r="C23" s="56"/>
      <c r="D23" s="126">
        <f t="shared" si="1"/>
        <v>5918.9021315718128</v>
      </c>
    </row>
    <row r="24" spans="1:4" x14ac:dyDescent="0.35">
      <c r="A24" s="128">
        <v>45078</v>
      </c>
      <c r="B24" s="56">
        <f t="shared" si="0"/>
        <v>4336.9499563318732</v>
      </c>
      <c r="C24" s="56"/>
      <c r="D24" s="126">
        <f t="shared" si="1"/>
        <v>5918.9021315718128</v>
      </c>
    </row>
    <row r="25" spans="1:4" x14ac:dyDescent="0.35">
      <c r="A25" s="127">
        <v>45108</v>
      </c>
      <c r="B25" s="56">
        <f t="shared" si="0"/>
        <v>8022.6130650758378</v>
      </c>
      <c r="C25" s="56"/>
      <c r="D25" s="126">
        <f t="shared" si="1"/>
        <v>5918.9021315718128</v>
      </c>
    </row>
    <row r="26" spans="1:4" x14ac:dyDescent="0.35">
      <c r="A26" s="128">
        <v>45139</v>
      </c>
      <c r="B26" s="56">
        <f t="shared" si="0"/>
        <v>6817.4087635730284</v>
      </c>
      <c r="C26" s="56"/>
      <c r="D26" s="126">
        <f t="shared" si="1"/>
        <v>5918.9021315718128</v>
      </c>
    </row>
    <row r="27" spans="1:4" x14ac:dyDescent="0.35">
      <c r="A27" s="127">
        <v>45170</v>
      </c>
      <c r="B27" s="56">
        <f t="shared" si="0"/>
        <v>7304.4882857013799</v>
      </c>
      <c r="C27" s="56"/>
      <c r="D27" s="126">
        <f t="shared" si="1"/>
        <v>5918.9021315718128</v>
      </c>
    </row>
    <row r="28" spans="1:4" x14ac:dyDescent="0.35">
      <c r="A28" s="128">
        <v>45200</v>
      </c>
      <c r="B28" s="56">
        <f t="shared" si="0"/>
        <v>7253.0018112654634</v>
      </c>
      <c r="C28" s="56"/>
      <c r="D28" s="126">
        <f t="shared" si="1"/>
        <v>5918.9021315718128</v>
      </c>
    </row>
    <row r="29" spans="1:4" x14ac:dyDescent="0.35">
      <c r="A29" s="127">
        <v>45231</v>
      </c>
      <c r="B29" s="56">
        <f t="shared" si="0"/>
        <v>6358.0760980019859</v>
      </c>
      <c r="C29" s="56"/>
      <c r="D29" s="126">
        <f t="shared" si="1"/>
        <v>5918.9021315718128</v>
      </c>
    </row>
    <row r="30" spans="1:4" x14ac:dyDescent="0.35">
      <c r="A30" s="128">
        <v>45261</v>
      </c>
      <c r="B30" s="56">
        <f t="shared" si="0"/>
        <v>9401.092221936502</v>
      </c>
      <c r="C30" s="56"/>
      <c r="D30" s="126">
        <f t="shared" si="1"/>
        <v>5918.9021315718128</v>
      </c>
    </row>
    <row r="31" spans="1:4" x14ac:dyDescent="0.35">
      <c r="A31" t="str">
        <f t="shared" ref="A31" si="2">A15</f>
        <v xml:space="preserve">Total savings </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20ABB-DC7B-4218-B912-2F7D2B3DC747}">
  <sheetPr codeName="Sheet10">
    <tabColor rgb="FFFAD3E9"/>
  </sheetPr>
  <dimension ref="B2:Q64"/>
  <sheetViews>
    <sheetView tabSelected="1" topLeftCell="A13" zoomScaleNormal="100" workbookViewId="0">
      <selection activeCell="P43" sqref="P43"/>
    </sheetView>
  </sheetViews>
  <sheetFormatPr defaultColWidth="8.453125" defaultRowHeight="14.5" x14ac:dyDescent="0.35"/>
  <cols>
    <col min="1" max="10" width="8.453125" style="57"/>
    <col min="11" max="11" width="18.1796875" style="57" customWidth="1"/>
    <col min="12" max="13" width="8.453125" style="57"/>
    <col min="14" max="14" width="11.453125" style="57" customWidth="1"/>
    <col min="15" max="15" width="8.453125" style="57"/>
    <col min="16" max="16" width="11" style="57" customWidth="1"/>
    <col min="17" max="16384" width="8.453125" style="57"/>
  </cols>
  <sheetData>
    <row r="2" spans="2:17" x14ac:dyDescent="0.35">
      <c r="B2" s="137" t="s">
        <v>140</v>
      </c>
      <c r="C2" s="137"/>
      <c r="D2" s="137"/>
      <c r="G2" s="59"/>
    </row>
    <row r="3" spans="2:17" x14ac:dyDescent="0.35">
      <c r="B3" s="137"/>
      <c r="C3" s="137"/>
      <c r="D3" s="137"/>
      <c r="F3" s="60" t="s">
        <v>2</v>
      </c>
      <c r="G3" s="59"/>
      <c r="K3" s="89">
        <f ca="1">TODAY()</f>
        <v>44587</v>
      </c>
    </row>
    <row r="4" spans="2:17" x14ac:dyDescent="0.35">
      <c r="B4" s="138"/>
      <c r="C4" s="138"/>
      <c r="D4" s="138"/>
      <c r="E4" s="61"/>
      <c r="F4" s="61"/>
      <c r="G4" s="62"/>
      <c r="H4" s="61"/>
      <c r="I4" s="61"/>
      <c r="J4" s="61"/>
      <c r="K4" s="61"/>
    </row>
    <row r="5" spans="2:17" ht="18.5" x14ac:dyDescent="0.35">
      <c r="B5" s="63"/>
      <c r="C5" s="63"/>
      <c r="D5" s="63"/>
    </row>
    <row r="6" spans="2:17" x14ac:dyDescent="0.35">
      <c r="E6" s="274" t="s">
        <v>141</v>
      </c>
      <c r="F6" s="275"/>
      <c r="G6" s="275"/>
      <c r="H6" s="275"/>
      <c r="I6" s="275"/>
    </row>
    <row r="7" spans="2:17" x14ac:dyDescent="0.35">
      <c r="E7" s="275"/>
      <c r="F7" s="275"/>
      <c r="G7" s="275"/>
      <c r="H7" s="275"/>
      <c r="I7" s="275"/>
    </row>
    <row r="9" spans="2:17" x14ac:dyDescent="0.35">
      <c r="N9" s="278" t="s">
        <v>142</v>
      </c>
      <c r="O9" s="279"/>
      <c r="P9" s="279"/>
      <c r="Q9" s="280"/>
    </row>
    <row r="10" spans="2:17" x14ac:dyDescent="0.35">
      <c r="N10" s="281"/>
      <c r="O10" s="282"/>
      <c r="P10" s="282"/>
      <c r="Q10" s="283"/>
    </row>
    <row r="11" spans="2:17" ht="15.5" x14ac:dyDescent="0.35">
      <c r="N11" s="270">
        <v>2022</v>
      </c>
      <c r="O11" s="271"/>
      <c r="P11" s="272">
        <v>2023</v>
      </c>
      <c r="Q11" s="273"/>
    </row>
    <row r="12" spans="2:17" ht="15.5" x14ac:dyDescent="0.35">
      <c r="N12" s="286">
        <f>AVERAGE(Sheet1!B2:B13)</f>
        <v>2608.3333333333335</v>
      </c>
      <c r="O12" s="287"/>
      <c r="P12" s="284">
        <f>AVERAGE(Sheet1!C14:C25)</f>
        <v>5454.3783595946379</v>
      </c>
      <c r="Q12" s="285"/>
    </row>
    <row r="13" spans="2:17" x14ac:dyDescent="0.35">
      <c r="N13" s="288" t="s">
        <v>143</v>
      </c>
      <c r="O13" s="289"/>
      <c r="P13" s="289"/>
      <c r="Q13" s="290"/>
    </row>
    <row r="14" spans="2:17" x14ac:dyDescent="0.35">
      <c r="N14" s="291"/>
      <c r="O14" s="292"/>
      <c r="P14" s="292"/>
      <c r="Q14" s="293"/>
    </row>
    <row r="15" spans="2:17" x14ac:dyDescent="0.35">
      <c r="N15" s="294" t="str">
        <f>IF(P12&gt;N12,"Excellent",IF(P12=N12,"Good","Work Harder"))</f>
        <v>Excellent</v>
      </c>
      <c r="O15" s="295"/>
      <c r="P15" s="295"/>
      <c r="Q15" s="296"/>
    </row>
    <row r="16" spans="2:17" x14ac:dyDescent="0.35">
      <c r="N16" s="294"/>
      <c r="O16" s="295"/>
      <c r="P16" s="295"/>
      <c r="Q16" s="296"/>
    </row>
    <row r="17" spans="5:17" x14ac:dyDescent="0.35">
      <c r="N17" s="294"/>
      <c r="O17" s="295"/>
      <c r="P17" s="295"/>
      <c r="Q17" s="296"/>
    </row>
    <row r="18" spans="5:17" x14ac:dyDescent="0.35">
      <c r="N18" s="294"/>
      <c r="O18" s="295"/>
      <c r="P18" s="295"/>
      <c r="Q18" s="296"/>
    </row>
    <row r="19" spans="5:17" x14ac:dyDescent="0.35">
      <c r="N19" s="297"/>
      <c r="O19" s="298"/>
      <c r="P19" s="298"/>
      <c r="Q19" s="299"/>
    </row>
    <row r="27" spans="5:17" x14ac:dyDescent="0.35">
      <c r="E27" s="276" t="s">
        <v>144</v>
      </c>
      <c r="F27" s="277"/>
      <c r="G27" s="277"/>
      <c r="H27" s="277"/>
      <c r="I27" s="277"/>
    </row>
    <row r="28" spans="5:17" x14ac:dyDescent="0.35">
      <c r="E28" s="277"/>
      <c r="F28" s="277"/>
      <c r="G28" s="277"/>
      <c r="H28" s="277"/>
      <c r="I28" s="277"/>
    </row>
    <row r="29" spans="5:17" x14ac:dyDescent="0.35">
      <c r="E29" s="277"/>
      <c r="F29" s="277"/>
      <c r="G29" s="277"/>
      <c r="H29" s="277"/>
      <c r="I29" s="277"/>
    </row>
    <row r="30" spans="5:17" x14ac:dyDescent="0.35">
      <c r="N30" s="278" t="s">
        <v>145</v>
      </c>
      <c r="O30" s="279"/>
      <c r="P30" s="279"/>
      <c r="Q30" s="280"/>
    </row>
    <row r="31" spans="5:17" x14ac:dyDescent="0.35">
      <c r="N31" s="281"/>
      <c r="O31" s="282"/>
      <c r="P31" s="282"/>
      <c r="Q31" s="283"/>
    </row>
    <row r="32" spans="5:17" ht="15.5" x14ac:dyDescent="0.35">
      <c r="N32" s="270">
        <v>2022</v>
      </c>
      <c r="O32" s="271"/>
      <c r="P32" s="272">
        <v>2023</v>
      </c>
      <c r="Q32" s="273"/>
    </row>
    <row r="33" spans="14:17" ht="15.5" x14ac:dyDescent="0.35">
      <c r="N33" s="286">
        <f>AVERAGE(LiabilitiesPrediction!B2:B13)</f>
        <v>1137.5</v>
      </c>
      <c r="O33" s="287"/>
      <c r="P33" s="284">
        <f>AVERAGE(LiabilitiesPrediction!C14:C25)</f>
        <v>705.17151453043914</v>
      </c>
      <c r="Q33" s="285"/>
    </row>
    <row r="34" spans="14:17" x14ac:dyDescent="0.35">
      <c r="N34" s="288" t="s">
        <v>143</v>
      </c>
      <c r="O34" s="289"/>
      <c r="P34" s="289"/>
      <c r="Q34" s="290"/>
    </row>
    <row r="35" spans="14:17" x14ac:dyDescent="0.35">
      <c r="N35" s="291"/>
      <c r="O35" s="292"/>
      <c r="P35" s="292"/>
      <c r="Q35" s="293"/>
    </row>
    <row r="36" spans="14:17" x14ac:dyDescent="0.35">
      <c r="N36" s="294" t="str">
        <f>IF(P33&gt;N33,"Bankrupt",IF(P33=N33,"Safe","Excellent"))</f>
        <v>Excellent</v>
      </c>
      <c r="O36" s="295"/>
      <c r="P36" s="295"/>
      <c r="Q36" s="296"/>
    </row>
    <row r="37" spans="14:17" x14ac:dyDescent="0.35">
      <c r="N37" s="294"/>
      <c r="O37" s="295"/>
      <c r="P37" s="295"/>
      <c r="Q37" s="296"/>
    </row>
    <row r="38" spans="14:17" x14ac:dyDescent="0.35">
      <c r="N38" s="294"/>
      <c r="O38" s="295"/>
      <c r="P38" s="295"/>
      <c r="Q38" s="296"/>
    </row>
    <row r="39" spans="14:17" x14ac:dyDescent="0.35">
      <c r="N39" s="294"/>
      <c r="O39" s="295"/>
      <c r="P39" s="295"/>
      <c r="Q39" s="296"/>
    </row>
    <row r="40" spans="14:17" x14ac:dyDescent="0.35">
      <c r="N40" s="297"/>
      <c r="O40" s="298"/>
      <c r="P40" s="298"/>
      <c r="Q40" s="299"/>
    </row>
    <row r="50" spans="5:17" x14ac:dyDescent="0.35">
      <c r="E50" s="274" t="s">
        <v>146</v>
      </c>
      <c r="F50" s="275"/>
      <c r="G50" s="275"/>
      <c r="H50" s="275"/>
      <c r="I50" s="275"/>
    </row>
    <row r="51" spans="5:17" x14ac:dyDescent="0.35">
      <c r="E51" s="275"/>
      <c r="F51" s="275"/>
      <c r="G51" s="275"/>
      <c r="H51" s="275"/>
      <c r="I51" s="275"/>
    </row>
    <row r="54" spans="5:17" x14ac:dyDescent="0.35">
      <c r="N54" s="278" t="s">
        <v>147</v>
      </c>
      <c r="O54" s="279"/>
      <c r="P54" s="279"/>
      <c r="Q54" s="280"/>
    </row>
    <row r="55" spans="5:17" x14ac:dyDescent="0.35">
      <c r="N55" s="281"/>
      <c r="O55" s="282"/>
      <c r="P55" s="282"/>
      <c r="Q55" s="283"/>
    </row>
    <row r="56" spans="5:17" ht="15.5" x14ac:dyDescent="0.35">
      <c r="N56" s="270">
        <v>2022</v>
      </c>
      <c r="O56" s="271"/>
      <c r="P56" s="272">
        <v>2023</v>
      </c>
      <c r="Q56" s="273"/>
    </row>
    <row r="57" spans="5:17" ht="15.5" x14ac:dyDescent="0.35">
      <c r="N57" s="286">
        <f>AVERAGE(Sheet2!B3:B14)</f>
        <v>804.16666666666663</v>
      </c>
      <c r="O57" s="287"/>
      <c r="P57" s="284">
        <f>AVERAGE(Sheet2!B19:B30)</f>
        <v>5918.9021315718128</v>
      </c>
      <c r="Q57" s="285"/>
    </row>
    <row r="58" spans="5:17" x14ac:dyDescent="0.35">
      <c r="N58" s="288" t="s">
        <v>143</v>
      </c>
      <c r="O58" s="289"/>
      <c r="P58" s="289"/>
      <c r="Q58" s="290"/>
    </row>
    <row r="59" spans="5:17" x14ac:dyDescent="0.35">
      <c r="N59" s="291"/>
      <c r="O59" s="292"/>
      <c r="P59" s="292"/>
      <c r="Q59" s="293"/>
    </row>
    <row r="60" spans="5:17" x14ac:dyDescent="0.35">
      <c r="N60" s="294" t="str">
        <f>IF(P57&gt;N57,"Excellent",IF(P57=N57,"Good","Work Harder"))</f>
        <v>Excellent</v>
      </c>
      <c r="O60" s="295"/>
      <c r="P60" s="295"/>
      <c r="Q60" s="296"/>
    </row>
    <row r="61" spans="5:17" x14ac:dyDescent="0.35">
      <c r="N61" s="294"/>
      <c r="O61" s="295"/>
      <c r="P61" s="295"/>
      <c r="Q61" s="296"/>
    </row>
    <row r="62" spans="5:17" x14ac:dyDescent="0.35">
      <c r="N62" s="294"/>
      <c r="O62" s="295"/>
      <c r="P62" s="295"/>
      <c r="Q62" s="296"/>
    </row>
    <row r="63" spans="5:17" x14ac:dyDescent="0.35">
      <c r="N63" s="294"/>
      <c r="O63" s="295"/>
      <c r="P63" s="295"/>
      <c r="Q63" s="296"/>
    </row>
    <row r="64" spans="5:17" x14ac:dyDescent="0.35">
      <c r="N64" s="297"/>
      <c r="O64" s="298"/>
      <c r="P64" s="298"/>
      <c r="Q64" s="299"/>
    </row>
  </sheetData>
  <mergeCells count="25">
    <mergeCell ref="N58:Q59"/>
    <mergeCell ref="N60:Q64"/>
    <mergeCell ref="N54:Q55"/>
    <mergeCell ref="N56:O56"/>
    <mergeCell ref="P56:Q56"/>
    <mergeCell ref="N57:O57"/>
    <mergeCell ref="P57:Q57"/>
    <mergeCell ref="N33:O33"/>
    <mergeCell ref="P33:Q33"/>
    <mergeCell ref="N34:Q35"/>
    <mergeCell ref="N36:Q40"/>
    <mergeCell ref="E50:I51"/>
    <mergeCell ref="N32:O32"/>
    <mergeCell ref="P32:Q32"/>
    <mergeCell ref="B2:D4"/>
    <mergeCell ref="E6:I7"/>
    <mergeCell ref="E27:I29"/>
    <mergeCell ref="N9:Q10"/>
    <mergeCell ref="P11:Q11"/>
    <mergeCell ref="P12:Q12"/>
    <mergeCell ref="N11:O11"/>
    <mergeCell ref="N12:O12"/>
    <mergeCell ref="N13:Q14"/>
    <mergeCell ref="N15:Q19"/>
    <mergeCell ref="N30:Q31"/>
  </mergeCells>
  <pageMargins left="0.7" right="0.7" top="0.75" bottom="0.75" header="0.3" footer="0.3"/>
  <pageSetup paperSize="9" scale="4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9A8224EE397914AB290C156C5F2772D" ma:contentTypeVersion="10" ma:contentTypeDescription="Create a new document." ma:contentTypeScope="" ma:versionID="0caa7058bce62d316372acf2288187b8">
  <xsd:schema xmlns:xsd="http://www.w3.org/2001/XMLSchema" xmlns:xs="http://www.w3.org/2001/XMLSchema" xmlns:p="http://schemas.microsoft.com/office/2006/metadata/properties" xmlns:ns2="5252b940-22b6-47d8-b7f9-1e28c72ca591" xmlns:ns3="c443a7c3-6627-4634-be23-5ba915a2223b" targetNamespace="http://schemas.microsoft.com/office/2006/metadata/properties" ma:root="true" ma:fieldsID="2d5ea546f55fa8f9384eafa8046e1f3a" ns2:_="" ns3:_="">
    <xsd:import namespace="5252b940-22b6-47d8-b7f9-1e28c72ca591"/>
    <xsd:import namespace="c443a7c3-6627-4634-be23-5ba915a222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52b940-22b6-47d8-b7f9-1e28c72ca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3a7c3-6627-4634-be23-5ba915a2223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0E813A-6DF6-412E-B96C-11282F87AE83}">
  <ds:schemaRefs>
    <ds:schemaRef ds:uri="http://schemas.microsoft.com/sharepoint/v3/contenttype/forms"/>
  </ds:schemaRefs>
</ds:datastoreItem>
</file>

<file path=customXml/itemProps2.xml><?xml version="1.0" encoding="utf-8"?>
<ds:datastoreItem xmlns:ds="http://schemas.openxmlformats.org/officeDocument/2006/customXml" ds:itemID="{B8F9F55B-4A04-4DB9-BFA7-93D59F20BE2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521777F-48D9-4075-9BF4-051C41FB91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52b940-22b6-47d8-b7f9-1e28c72ca591"/>
    <ds:schemaRef ds:uri="c443a7c3-6627-4634-be23-5ba915a22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Dashboard</vt:lpstr>
      <vt:lpstr>Assets</vt:lpstr>
      <vt:lpstr>Liabilities</vt:lpstr>
      <vt:lpstr>Investments</vt:lpstr>
      <vt:lpstr>Calculations</vt:lpstr>
      <vt:lpstr>CPF</vt:lpstr>
      <vt:lpstr>Ledger</vt:lpstr>
      <vt:lpstr>Sheet1</vt:lpstr>
      <vt:lpstr>Liabilities Forecast Sheet</vt:lpstr>
      <vt:lpstr>LiabilitiesPrediction</vt:lpstr>
      <vt:lpstr>Sheet2</vt:lpstr>
      <vt:lpstr>Forecasts</vt:lpstr>
      <vt:lpstr>Ledger</vt:lpstr>
      <vt:lpstr>LedgerFinal</vt:lpstr>
      <vt:lpstr>TransactionType</vt:lpstr>
      <vt:lpstr>wromg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Balqis Kinanti</cp:lastModifiedBy>
  <cp:revision/>
  <dcterms:created xsi:type="dcterms:W3CDTF">2021-11-27T03:52:14Z</dcterms:created>
  <dcterms:modified xsi:type="dcterms:W3CDTF">2022-01-26T11:46:54Z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0x010100B9A8224EE397914AB290C156C5F2772D</vt:lpwstr>
  </property>
</Properties>
</file>